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Andrew\Dropbox\School\2015\Information Processes &amp; Technology\[AS1] Multimedia Presentation\docs\"/>
    </mc:Choice>
  </mc:AlternateContent>
  <bookViews>
    <workbookView xWindow="0" yWindow="0" windowWidth="27870" windowHeight="13020"/>
  </bookViews>
  <sheets>
    <sheet name="Gantt" sheetId="1" r:id="rId1"/>
    <sheet name="Settings" sheetId="4" state="hidden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52511"/>
</workbook>
</file>

<file path=xl/calcChain.xml><?xml version="1.0" encoding="utf-8"?>
<calcChain xmlns="http://schemas.openxmlformats.org/spreadsheetml/2006/main">
  <c r="F22" i="1" l="1"/>
  <c r="F16" i="1"/>
  <c r="H23" i="1" l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49" i="1"/>
  <c r="F7" i="1"/>
  <c r="F8" i="1"/>
  <c r="F9" i="1"/>
  <c r="F10" i="1"/>
  <c r="F11" i="1"/>
  <c r="F12" i="1"/>
  <c r="F13" i="1"/>
  <c r="F14" i="1"/>
  <c r="F15" i="1"/>
  <c r="F17" i="1"/>
  <c r="F18" i="1"/>
  <c r="F19" i="1"/>
  <c r="F20" i="1"/>
  <c r="F21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6" i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B4" i="1" l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22" i="1" l="1"/>
  <c r="G22" i="1"/>
  <c r="H21" i="1"/>
  <c r="G21" i="1"/>
  <c r="H20" i="1"/>
  <c r="G20" i="1"/>
  <c r="H19" i="1"/>
  <c r="G19" i="1"/>
  <c r="H18" i="1"/>
  <c r="G18" i="1"/>
  <c r="H7" i="1"/>
  <c r="H11" i="1"/>
  <c r="H15" i="1"/>
  <c r="H10" i="1"/>
  <c r="H8" i="1"/>
  <c r="H12" i="1"/>
  <c r="H16" i="1"/>
  <c r="H9" i="1"/>
  <c r="H13" i="1"/>
  <c r="H17" i="1"/>
  <c r="H14" i="1"/>
  <c r="H6" i="1"/>
  <c r="G7" i="1"/>
  <c r="G11" i="1"/>
  <c r="G15" i="1"/>
  <c r="G14" i="1"/>
  <c r="G8" i="1"/>
  <c r="G12" i="1"/>
  <c r="G16" i="1"/>
  <c r="G10" i="1"/>
  <c r="G9" i="1"/>
  <c r="G13" i="1"/>
  <c r="G17" i="1"/>
  <c r="G6" i="1"/>
  <c r="J5" i="1"/>
  <c r="L5" i="1"/>
  <c r="K5" i="1"/>
  <c r="M5" i="1" l="1"/>
  <c r="N5" i="1" l="1"/>
  <c r="O5" i="1" l="1"/>
  <c r="P5" i="1" l="1"/>
  <c r="Q5" i="1" l="1"/>
  <c r="R5" i="1" l="1"/>
  <c r="S5" i="1" l="1"/>
  <c r="T5" i="1" l="1"/>
  <c r="U5" i="1" l="1"/>
  <c r="V5" i="1" l="1"/>
  <c r="W5" i="1" l="1"/>
  <c r="X5" i="1" l="1"/>
  <c r="Y5" i="1" l="1"/>
  <c r="Z5" i="1" l="1"/>
  <c r="AA5" i="1" l="1"/>
  <c r="AB5" i="1" l="1"/>
  <c r="AC5" i="1" l="1"/>
  <c r="AD5" i="1" l="1"/>
  <c r="AE5" i="1" l="1"/>
  <c r="AF5" i="1" l="1"/>
  <c r="AG5" i="1" l="1"/>
  <c r="AH5" i="1" l="1"/>
  <c r="AI5" i="1" l="1"/>
  <c r="AJ5" i="1" l="1"/>
  <c r="AK5" i="1" l="1"/>
  <c r="AL5" i="1" l="1"/>
  <c r="AM5" i="1" l="1"/>
  <c r="AN5" i="1" l="1"/>
  <c r="AO5" i="1" l="1"/>
  <c r="AP5" i="1" l="1"/>
  <c r="AQ5" i="1" l="1"/>
  <c r="AR5" i="1" l="1"/>
  <c r="AS5" i="1" l="1"/>
  <c r="AT5" i="1" l="1"/>
  <c r="AU5" i="1" l="1"/>
  <c r="AV5" i="1" l="1"/>
  <c r="AW5" i="1" l="1"/>
  <c r="AX5" i="1" l="1"/>
  <c r="AY5" i="1" l="1"/>
  <c r="AZ5" i="1" l="1"/>
  <c r="BA5" i="1" l="1"/>
  <c r="BB5" i="1" l="1"/>
  <c r="BC5" i="1" l="1"/>
  <c r="BD5" i="1" l="1"/>
  <c r="BE5" i="1" l="1"/>
  <c r="BF5" i="1" l="1"/>
  <c r="BG5" i="1" l="1"/>
  <c r="BH5" i="1" l="1"/>
  <c r="BI5" i="1" l="1"/>
  <c r="BJ5" i="1" l="1"/>
  <c r="BK5" i="1" l="1"/>
  <c r="BL5" i="1" l="1"/>
  <c r="BM5" i="1" l="1"/>
  <c r="BN5" i="1" l="1"/>
  <c r="BO5" i="1" l="1"/>
  <c r="BP5" i="1" l="1"/>
  <c r="BQ5" i="1" l="1"/>
  <c r="BR5" i="1" l="1"/>
  <c r="BS5" i="1" l="1"/>
  <c r="BT5" i="1" l="1"/>
  <c r="BU5" i="1" l="1"/>
  <c r="BV5" i="1" l="1"/>
  <c r="BW5" i="1" l="1"/>
  <c r="BX5" i="1" l="1"/>
  <c r="BY5" i="1" l="1"/>
  <c r="BZ5" i="1" l="1"/>
  <c r="CA5" i="1" l="1"/>
  <c r="CB5" i="1" l="1"/>
</calcChain>
</file>

<file path=xl/sharedStrings.xml><?xml version="1.0" encoding="utf-8"?>
<sst xmlns="http://schemas.openxmlformats.org/spreadsheetml/2006/main" count="40" uniqueCount="40">
  <si>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</si>
  <si>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</si>
  <si>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</si>
  <si>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</si>
  <si>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</si>
  <si>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</si>
  <si>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</si>
  <si>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</si>
  <si>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</si>
  <si>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</si>
  <si>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</si>
  <si>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</si>
  <si>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</si>
  <si>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</si>
  <si>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</si>
  <si>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</si>
  <si>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</si>
  <si>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</si>
  <si>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Planning</t>
  </si>
  <si>
    <t>Feature List</t>
  </si>
  <si>
    <t>Storyboard</t>
  </si>
  <si>
    <t>Documentation</t>
  </si>
  <si>
    <t>Video Clip Inclusion</t>
  </si>
  <si>
    <t>WWW Visibility</t>
  </si>
  <si>
    <t>Kiosk Usage</t>
  </si>
  <si>
    <t>IPT - Multimedia Presentation</t>
  </si>
  <si>
    <t>Days Planned</t>
  </si>
  <si>
    <t>Days Elapsed</t>
  </si>
  <si>
    <t>Days Remain</t>
  </si>
  <si>
    <t>Days Overrun</t>
  </si>
  <si>
    <t>Assign Roles</t>
  </si>
  <si>
    <t>Create kiosk version</t>
  </si>
  <si>
    <t>Design Mock-ups</t>
  </si>
  <si>
    <t>Merge presentation with information</t>
  </si>
  <si>
    <t>Create Gantt Chart</t>
  </si>
  <si>
    <t>Creation</t>
  </si>
  <si>
    <t>Presentation</t>
  </si>
  <si>
    <t>Finalisation</t>
  </si>
  <si>
    <t>Research Technolgies</t>
  </si>
  <si>
    <t>Evaluation and Overall Inspection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</si>
</sst>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#"/>
    <numFmt numFmtId="165" formatCode="dd\-mmm\-yy;;"/>
    <numFmt numFmtId="166" formatCode="ddd\-dd\-mmm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669966"/>
      <name val="Verdana"/>
      <family val="2"/>
    </font>
    <font>
      <sz val="10"/>
      <color rgb="FF669966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9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6" fillId="0" borderId="0" xfId="0" applyFont="1" applyFill="1" applyBorder="1" applyProtection="1"/>
    <xf numFmtId="0" fontId="6" fillId="0" borderId="0" xfId="0" applyFont="1" applyProtection="1"/>
    <xf numFmtId="0" fontId="6" fillId="0" borderId="0" xfId="0" applyFont="1" applyAlignment="1" applyProtection="1"/>
    <xf numFmtId="0" fontId="6" fillId="0" borderId="2" xfId="0" applyFont="1" applyFill="1" applyBorder="1" applyProtection="1"/>
    <xf numFmtId="1" fontId="6" fillId="0" borderId="2" xfId="0" applyNumberFormat="1" applyFont="1" applyFill="1" applyBorder="1" applyAlignment="1" applyProtection="1">
      <alignment horizontal="center"/>
    </xf>
    <xf numFmtId="0" fontId="6" fillId="0" borderId="5" xfId="0" applyFont="1" applyFill="1" applyBorder="1" applyProtection="1"/>
    <xf numFmtId="165" fontId="6" fillId="0" borderId="0" xfId="0" applyNumberFormat="1" applyFont="1" applyProtection="1"/>
    <xf numFmtId="165" fontId="3" fillId="0" borderId="0" xfId="0" applyNumberFormat="1" applyFont="1" applyProtection="1"/>
    <xf numFmtId="0" fontId="3" fillId="0" borderId="6" xfId="0" applyFont="1" applyBorder="1" applyProtection="1"/>
    <xf numFmtId="0" fontId="6" fillId="0" borderId="3" xfId="0" applyFont="1" applyFill="1" applyBorder="1" applyProtection="1"/>
    <xf numFmtId="0" fontId="6" fillId="0" borderId="4" xfId="0" applyFont="1" applyFill="1" applyBorder="1" applyProtection="1"/>
    <xf numFmtId="0" fontId="3" fillId="0" borderId="0" xfId="0" applyFont="1" applyFill="1" applyProtection="1"/>
    <xf numFmtId="0" fontId="6" fillId="0" borderId="2" xfId="0" applyNumberFormat="1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protection locked="0"/>
    </xf>
    <xf numFmtId="165" fontId="6" fillId="0" borderId="2" xfId="0" applyNumberFormat="1" applyFont="1" applyFill="1" applyBorder="1" applyAlignment="1" applyProtection="1">
      <alignment horizontal="right"/>
      <protection locked="0"/>
    </xf>
    <xf numFmtId="0" fontId="7" fillId="0" borderId="1" xfId="0" applyFont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left" vertical="center"/>
    </xf>
    <xf numFmtId="0" fontId="5" fillId="0" borderId="8" xfId="0" applyFont="1" applyBorder="1" applyAlignment="1" applyProtection="1">
      <alignment horizontal="center" vertical="center" wrapText="1"/>
    </xf>
    <xf numFmtId="0" fontId="7" fillId="7" borderId="1" xfId="0" applyFont="1" applyFill="1" applyBorder="1" applyAlignment="1" applyProtection="1">
      <alignment horizontal="center" vertical="center" wrapText="1"/>
    </xf>
    <xf numFmtId="15" fontId="17" fillId="0" borderId="7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7" xfId="0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 applyProtection="1">
      <protection locked="0"/>
    </xf>
    <xf numFmtId="165" fontId="6" fillId="0" borderId="0" xfId="0" applyNumberFormat="1" applyFont="1" applyFill="1" applyBorder="1" applyAlignment="1" applyProtection="1">
      <alignment horizontal="right"/>
      <protection locked="0"/>
    </xf>
    <xf numFmtId="0" fontId="12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right" indent="1"/>
    </xf>
    <xf numFmtId="0" fontId="9" fillId="0" borderId="10" xfId="0" applyFont="1" applyBorder="1" applyAlignment="1" applyProtection="1">
      <alignment horizontal="right" vertical="center"/>
    </xf>
    <xf numFmtId="0" fontId="4" fillId="0" borderId="10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right" vertical="center"/>
    </xf>
    <xf numFmtId="15" fontId="4" fillId="0" borderId="1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right" vertical="center"/>
    </xf>
    <xf numFmtId="15" fontId="10" fillId="0" borderId="7" xfId="0" applyNumberFormat="1" applyFont="1" applyBorder="1" applyAlignment="1" applyProtection="1">
      <alignment horizontal="left" vertical="center"/>
      <protection locked="0"/>
    </xf>
    <xf numFmtId="0" fontId="11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vertical="center" wrapText="1"/>
    </xf>
    <xf numFmtId="0" fontId="1" fillId="0" borderId="9" xfId="0" applyFont="1" applyBorder="1" applyAlignment="1" applyProtection="1">
      <alignment vertical="center"/>
    </xf>
    <xf numFmtId="0" fontId="1" fillId="0" borderId="9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9" xfId="0" applyNumberFormat="1" applyFont="1" applyFill="1" applyBorder="1" applyAlignment="1" applyProtection="1">
      <alignment horizontal="center" vertical="center"/>
      <protection locked="0"/>
    </xf>
    <xf numFmtId="1" fontId="4" fillId="0" borderId="9" xfId="0" applyNumberFormat="1" applyFont="1" applyFill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6" fontId="6" fillId="0" borderId="12" xfId="0" applyNumberFormat="1" applyFont="1" applyBorder="1" applyAlignment="1" applyProtection="1">
      <alignment textRotation="90"/>
    </xf>
    <xf numFmtId="166" fontId="15" fillId="0" borderId="1" xfId="0" applyNumberFormat="1" applyFont="1" applyBorder="1" applyAlignment="1" applyProtection="1">
      <alignment textRotation="90"/>
    </xf>
    <xf numFmtId="166" fontId="15" fillId="0" borderId="13" xfId="0" applyNumberFormat="1" applyFont="1" applyBorder="1" applyAlignment="1" applyProtection="1">
      <alignment textRotation="90"/>
    </xf>
    <xf numFmtId="16" fontId="18" fillId="6" borderId="0" xfId="0" applyNumberFormat="1" applyFont="1" applyFill="1" applyAlignment="1" applyProtection="1">
      <alignment textRotation="90"/>
    </xf>
    <xf numFmtId="16" fontId="19" fillId="6" borderId="0" xfId="0" applyNumberFormat="1" applyFont="1" applyFill="1" applyAlignment="1" applyProtection="1">
      <alignment textRotation="90"/>
    </xf>
    <xf numFmtId="0" fontId="14" fillId="6" borderId="0" xfId="0" applyFont="1" applyFill="1" applyBorder="1" applyAlignment="1" applyProtection="1">
      <alignment horizontal="left" vertical="center"/>
      <protection locked="0"/>
    </xf>
    <xf numFmtId="0" fontId="6" fillId="9" borderId="0" xfId="0" applyFont="1" applyFill="1" applyBorder="1" applyProtection="1"/>
    <xf numFmtId="0" fontId="3" fillId="9" borderId="0" xfId="0" applyFont="1" applyFill="1" applyProtection="1"/>
    <xf numFmtId="0" fontId="3" fillId="9" borderId="0" xfId="0" applyFont="1" applyFill="1" applyBorder="1" applyProtection="1"/>
    <xf numFmtId="166" fontId="15" fillId="9" borderId="0" xfId="0" applyNumberFormat="1" applyFont="1" applyFill="1" applyBorder="1" applyAlignment="1" applyProtection="1">
      <alignment textRotation="90"/>
    </xf>
    <xf numFmtId="166" fontId="6" fillId="9" borderId="0" xfId="0" applyNumberFormat="1" applyFont="1" applyFill="1" applyBorder="1" applyAlignment="1" applyProtection="1">
      <alignment textRotation="90"/>
    </xf>
    <xf numFmtId="16" fontId="19" fillId="9" borderId="0" xfId="0" applyNumberFormat="1" applyFont="1" applyFill="1" applyBorder="1" applyAlignment="1" applyProtection="1">
      <alignment textRotation="90"/>
    </xf>
    <xf numFmtId="164" fontId="16" fillId="9" borderId="0" xfId="0" applyNumberFormat="1" applyFont="1" applyFill="1" applyBorder="1" applyAlignment="1" applyProtection="1"/>
    <xf numFmtId="0" fontId="14" fillId="6" borderId="0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horizontal="left" vertical="center"/>
    </xf>
    <xf numFmtId="1" fontId="6" fillId="0" borderId="7" xfId="0" applyNumberFormat="1" applyFont="1" applyFill="1" applyBorder="1" applyAlignment="1" applyProtection="1">
      <alignment horizontal="center"/>
    </xf>
    <xf numFmtId="1" fontId="6" fillId="0" borderId="14" xfId="0" applyNumberFormat="1" applyFont="1" applyFill="1" applyBorder="1" applyAlignment="1" applyProtection="1">
      <alignment horizontal="center"/>
    </xf>
    <xf numFmtId="1" fontId="6" fillId="0" borderId="17" xfId="0" applyNumberFormat="1" applyFont="1" applyFill="1" applyBorder="1" applyAlignment="1" applyProtection="1">
      <alignment horizontal="center"/>
    </xf>
    <xf numFmtId="1" fontId="6" fillId="0" borderId="17" xfId="1" applyNumberFormat="1" applyFont="1" applyFill="1" applyBorder="1" applyAlignment="1" applyProtection="1">
      <alignment horizontal="center"/>
    </xf>
    <xf numFmtId="1" fontId="6" fillId="0" borderId="14" xfId="1" applyNumberFormat="1" applyFont="1" applyFill="1" applyBorder="1" applyAlignment="1" applyProtection="1">
      <alignment horizontal="center"/>
    </xf>
    <xf numFmtId="1" fontId="6" fillId="0" borderId="19" xfId="0" applyNumberFormat="1" applyFont="1" applyFill="1" applyBorder="1" applyAlignment="1" applyProtection="1">
      <alignment horizontal="center"/>
    </xf>
    <xf numFmtId="0" fontId="6" fillId="0" borderId="20" xfId="0" applyFont="1" applyFill="1" applyBorder="1" applyProtection="1"/>
    <xf numFmtId="0" fontId="6" fillId="0" borderId="7" xfId="0" applyFont="1" applyFill="1" applyBorder="1" applyProtection="1"/>
    <xf numFmtId="1" fontId="6" fillId="8" borderId="15" xfId="0" applyNumberFormat="1" applyFont="1" applyFill="1" applyBorder="1" applyAlignment="1" applyProtection="1">
      <alignment horizontal="center"/>
    </xf>
    <xf numFmtId="0" fontId="6" fillId="0" borderId="21" xfId="0" applyFont="1" applyFill="1" applyBorder="1" applyProtection="1"/>
    <xf numFmtId="0" fontId="6" fillId="0" borderId="18" xfId="0" applyFont="1" applyFill="1" applyBorder="1" applyProtection="1"/>
    <xf numFmtId="0" fontId="6" fillId="0" borderId="22" xfId="0" applyFont="1" applyFill="1" applyBorder="1" applyProtection="1"/>
    <xf numFmtId="0" fontId="6" fillId="0" borderId="17" xfId="0" applyFont="1" applyFill="1" applyBorder="1" applyProtection="1"/>
    <xf numFmtId="1" fontId="6" fillId="8" borderId="15" xfId="1" applyNumberFormat="1" applyFont="1" applyFill="1" applyBorder="1" applyAlignment="1" applyProtection="1">
      <alignment horizontal="center"/>
    </xf>
    <xf numFmtId="1" fontId="6" fillId="8" borderId="17" xfId="0" applyNumberFormat="1" applyFont="1" applyFill="1" applyBorder="1" applyAlignment="1" applyProtection="1">
      <alignment horizontal="center"/>
    </xf>
    <xf numFmtId="1" fontId="6" fillId="8" borderId="17" xfId="1" applyNumberFormat="1" applyFont="1" applyFill="1" applyBorder="1" applyAlignment="1" applyProtection="1">
      <alignment horizontal="center"/>
    </xf>
    <xf numFmtId="1" fontId="6" fillId="8" borderId="16" xfId="0" applyNumberFormat="1" applyFont="1" applyFill="1" applyBorder="1" applyAlignment="1" applyProtection="1">
      <alignment horizontal="center"/>
    </xf>
    <xf numFmtId="1" fontId="6" fillId="8" borderId="23" xfId="0" applyNumberFormat="1" applyFont="1" applyFill="1" applyBorder="1" applyAlignment="1" applyProtection="1">
      <alignment horizontal="center"/>
    </xf>
    <xf numFmtId="1" fontId="6" fillId="8" borderId="24" xfId="0" applyNumberFormat="1" applyFont="1" applyFill="1" applyBorder="1" applyAlignment="1" applyProtection="1">
      <alignment horizontal="center"/>
    </xf>
    <xf numFmtId="165" fontId="6" fillId="0" borderId="25" xfId="0" applyNumberFormat="1" applyFont="1" applyFill="1" applyBorder="1" applyAlignment="1" applyProtection="1">
      <alignment horizontal="right"/>
      <protection locked="0"/>
    </xf>
    <xf numFmtId="165" fontId="6" fillId="0" borderId="26" xfId="0" applyNumberFormat="1" applyFont="1" applyFill="1" applyBorder="1" applyAlignment="1" applyProtection="1">
      <alignment horizontal="right"/>
      <protection locked="0"/>
    </xf>
    <xf numFmtId="165" fontId="6" fillId="0" borderId="27" xfId="0" applyNumberFormat="1" applyFont="1" applyFill="1" applyBorder="1" applyAlignment="1" applyProtection="1">
      <alignment horizontal="right"/>
      <protection locked="0"/>
    </xf>
    <xf numFmtId="165" fontId="6" fillId="0" borderId="28" xfId="0" applyNumberFormat="1" applyFont="1" applyFill="1" applyBorder="1" applyAlignment="1" applyProtection="1">
      <alignment horizontal="right"/>
      <protection locked="0"/>
    </xf>
    <xf numFmtId="164" fontId="16" fillId="9" borderId="0" xfId="0" applyNumberFormat="1" applyFont="1" applyFill="1" applyBorder="1" applyAlignment="1" applyProtection="1">
      <alignment horizontal="center"/>
    </xf>
    <xf numFmtId="164" fontId="16" fillId="0" borderId="0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116"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K53"/>
  <sheetViews>
    <sheetView showGridLines="0" showRowColHeaders="0" tabSelected="1" zoomScaleNormal="100" workbookViewId="0">
      <pane ySplit="5" topLeftCell="A6" activePane="bottomLeft" state="frozen"/>
      <selection pane="bottomLeft"/>
    </sheetView>
  </sheetViews>
  <sheetFormatPr defaultColWidth="9.140625" defaultRowHeight="14.25" x14ac:dyDescent="0.2"/>
  <cols>
    <col min="1" max="1" width="7.5703125" style="1" bestFit="1" customWidth="1"/>
    <col min="2" max="2" width="32.28515625" style="2" customWidth="1"/>
    <col min="3" max="5" width="10.7109375" style="1" customWidth="1"/>
    <col min="6" max="9" width="8.5703125" style="1" customWidth="1"/>
    <col min="10" max="373" width="2.42578125" style="1" customWidth="1"/>
    <col min="374" max="374" width="5.5703125" style="1" customWidth="1"/>
    <col min="375" max="16384" width="9.140625" style="1"/>
  </cols>
  <sheetData>
    <row r="1" spans="1:375" s="11" customFormat="1" ht="23.25" customHeight="1" thickTop="1" x14ac:dyDescent="0.2">
      <c r="A1" s="54" t="s">
        <v>25</v>
      </c>
      <c r="B1" s="62"/>
      <c r="C1" s="62"/>
      <c r="D1" s="62"/>
      <c r="E1" s="62"/>
      <c r="F1" s="62"/>
      <c r="G1" s="62"/>
      <c r="H1" s="32"/>
      <c r="I1" s="33"/>
      <c r="J1" s="52">
        <f>(Start-WEEKDAY(Start,1)+WeekStartType)+7*DateOffset</f>
        <v>42023</v>
      </c>
      <c r="K1" s="53">
        <f t="shared" ref="K1:BV1" si="0">J1+1</f>
        <v>42024</v>
      </c>
      <c r="L1" s="53">
        <f t="shared" si="0"/>
        <v>42025</v>
      </c>
      <c r="M1" s="53">
        <f t="shared" si="0"/>
        <v>42026</v>
      </c>
      <c r="N1" s="53">
        <f t="shared" si="0"/>
        <v>42027</v>
      </c>
      <c r="O1" s="53">
        <f t="shared" si="0"/>
        <v>42028</v>
      </c>
      <c r="P1" s="53">
        <f t="shared" si="0"/>
        <v>42029</v>
      </c>
      <c r="Q1" s="53">
        <f t="shared" si="0"/>
        <v>42030</v>
      </c>
      <c r="R1" s="53">
        <f t="shared" si="0"/>
        <v>42031</v>
      </c>
      <c r="S1" s="53">
        <f t="shared" si="0"/>
        <v>42032</v>
      </c>
      <c r="T1" s="53">
        <f t="shared" si="0"/>
        <v>42033</v>
      </c>
      <c r="U1" s="53">
        <f t="shared" si="0"/>
        <v>42034</v>
      </c>
      <c r="V1" s="53">
        <f t="shared" si="0"/>
        <v>42035</v>
      </c>
      <c r="W1" s="53">
        <f t="shared" si="0"/>
        <v>42036</v>
      </c>
      <c r="X1" s="53">
        <f t="shared" si="0"/>
        <v>42037</v>
      </c>
      <c r="Y1" s="53">
        <f t="shared" si="0"/>
        <v>42038</v>
      </c>
      <c r="Z1" s="53">
        <f t="shared" si="0"/>
        <v>42039</v>
      </c>
      <c r="AA1" s="53">
        <f t="shared" si="0"/>
        <v>42040</v>
      </c>
      <c r="AB1" s="53">
        <f t="shared" si="0"/>
        <v>42041</v>
      </c>
      <c r="AC1" s="53">
        <f t="shared" si="0"/>
        <v>42042</v>
      </c>
      <c r="AD1" s="53">
        <f t="shared" si="0"/>
        <v>42043</v>
      </c>
      <c r="AE1" s="53">
        <f t="shared" si="0"/>
        <v>42044</v>
      </c>
      <c r="AF1" s="53">
        <f t="shared" si="0"/>
        <v>42045</v>
      </c>
      <c r="AG1" s="53">
        <f t="shared" si="0"/>
        <v>42046</v>
      </c>
      <c r="AH1" s="53">
        <f t="shared" si="0"/>
        <v>42047</v>
      </c>
      <c r="AI1" s="53">
        <f t="shared" si="0"/>
        <v>42048</v>
      </c>
      <c r="AJ1" s="53">
        <f t="shared" si="0"/>
        <v>42049</v>
      </c>
      <c r="AK1" s="53">
        <f t="shared" si="0"/>
        <v>42050</v>
      </c>
      <c r="AL1" s="53">
        <f t="shared" si="0"/>
        <v>42051</v>
      </c>
      <c r="AM1" s="53">
        <f t="shared" si="0"/>
        <v>42052</v>
      </c>
      <c r="AN1" s="53">
        <f t="shared" si="0"/>
        <v>42053</v>
      </c>
      <c r="AO1" s="53">
        <f t="shared" si="0"/>
        <v>42054</v>
      </c>
      <c r="AP1" s="53">
        <f t="shared" si="0"/>
        <v>42055</v>
      </c>
      <c r="AQ1" s="53">
        <f t="shared" si="0"/>
        <v>42056</v>
      </c>
      <c r="AR1" s="53">
        <f t="shared" si="0"/>
        <v>42057</v>
      </c>
      <c r="AS1" s="53">
        <f t="shared" si="0"/>
        <v>42058</v>
      </c>
      <c r="AT1" s="53">
        <f t="shared" si="0"/>
        <v>42059</v>
      </c>
      <c r="AU1" s="53">
        <f t="shared" si="0"/>
        <v>42060</v>
      </c>
      <c r="AV1" s="53">
        <f t="shared" si="0"/>
        <v>42061</v>
      </c>
      <c r="AW1" s="53">
        <f t="shared" si="0"/>
        <v>42062</v>
      </c>
      <c r="AX1" s="53">
        <f t="shared" si="0"/>
        <v>42063</v>
      </c>
      <c r="AY1" s="53">
        <f t="shared" si="0"/>
        <v>42064</v>
      </c>
      <c r="AZ1" s="53">
        <f t="shared" si="0"/>
        <v>42065</v>
      </c>
      <c r="BA1" s="53">
        <f t="shared" si="0"/>
        <v>42066</v>
      </c>
      <c r="BB1" s="53">
        <f t="shared" si="0"/>
        <v>42067</v>
      </c>
      <c r="BC1" s="53">
        <f t="shared" si="0"/>
        <v>42068</v>
      </c>
      <c r="BD1" s="53">
        <f t="shared" si="0"/>
        <v>42069</v>
      </c>
      <c r="BE1" s="53">
        <f t="shared" si="0"/>
        <v>42070</v>
      </c>
      <c r="BF1" s="53">
        <f t="shared" si="0"/>
        <v>42071</v>
      </c>
      <c r="BG1" s="53">
        <f t="shared" si="0"/>
        <v>42072</v>
      </c>
      <c r="BH1" s="53">
        <f t="shared" si="0"/>
        <v>42073</v>
      </c>
      <c r="BI1" s="53">
        <f t="shared" si="0"/>
        <v>42074</v>
      </c>
      <c r="BJ1" s="53">
        <f t="shared" si="0"/>
        <v>42075</v>
      </c>
      <c r="BK1" s="53">
        <f t="shared" si="0"/>
        <v>42076</v>
      </c>
      <c r="BL1" s="53">
        <f t="shared" si="0"/>
        <v>42077</v>
      </c>
      <c r="BM1" s="53">
        <f t="shared" si="0"/>
        <v>42078</v>
      </c>
      <c r="BN1" s="53">
        <f t="shared" si="0"/>
        <v>42079</v>
      </c>
      <c r="BO1" s="53">
        <f t="shared" si="0"/>
        <v>42080</v>
      </c>
      <c r="BP1" s="53">
        <f t="shared" si="0"/>
        <v>42081</v>
      </c>
      <c r="BQ1" s="53">
        <f t="shared" si="0"/>
        <v>42082</v>
      </c>
      <c r="BR1" s="53">
        <f t="shared" si="0"/>
        <v>42083</v>
      </c>
      <c r="BS1" s="53">
        <f t="shared" si="0"/>
        <v>42084</v>
      </c>
      <c r="BT1" s="53">
        <f t="shared" si="0"/>
        <v>42085</v>
      </c>
      <c r="BU1" s="53">
        <f t="shared" si="0"/>
        <v>42086</v>
      </c>
      <c r="BV1" s="53">
        <f t="shared" si="0"/>
        <v>42087</v>
      </c>
      <c r="BW1" s="53">
        <f t="shared" ref="BW1:CB1" si="1">BV1+1</f>
        <v>42088</v>
      </c>
      <c r="BX1" s="53">
        <f t="shared" si="1"/>
        <v>42089</v>
      </c>
      <c r="BY1" s="53">
        <f t="shared" si="1"/>
        <v>42090</v>
      </c>
      <c r="BZ1" s="53">
        <f t="shared" si="1"/>
        <v>42091</v>
      </c>
      <c r="CA1" s="53">
        <f t="shared" si="1"/>
        <v>42092</v>
      </c>
      <c r="CB1" s="53">
        <f t="shared" si="1"/>
        <v>42093</v>
      </c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57"/>
      <c r="NK1" s="57"/>
    </row>
    <row r="2" spans="1:375" s="14" customFormat="1" ht="15" customHeight="1" x14ac:dyDescent="0.2">
      <c r="A2" s="34"/>
      <c r="B2" s="35"/>
      <c r="C2" s="25"/>
      <c r="D2" s="25"/>
      <c r="E2" s="25"/>
      <c r="F2" s="25"/>
      <c r="G2" s="25"/>
      <c r="H2" s="25"/>
      <c r="I2" s="25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61"/>
      <c r="CD2" s="61"/>
      <c r="CE2" s="61"/>
      <c r="CF2" s="61"/>
      <c r="CG2" s="61"/>
      <c r="CH2" s="61"/>
      <c r="CI2" s="87"/>
      <c r="CJ2" s="87"/>
      <c r="CK2" s="87"/>
      <c r="CL2" s="87"/>
      <c r="CM2" s="87"/>
      <c r="CN2" s="87"/>
      <c r="CO2" s="87"/>
      <c r="CP2" s="87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87"/>
      <c r="EB2" s="87"/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7"/>
      <c r="EV2" s="87"/>
      <c r="EW2" s="87"/>
      <c r="EX2" s="87"/>
      <c r="EY2" s="87"/>
      <c r="EZ2" s="87"/>
      <c r="FA2" s="87"/>
      <c r="FB2" s="87"/>
      <c r="FC2" s="87"/>
      <c r="FD2" s="87"/>
      <c r="FE2" s="87"/>
      <c r="FF2" s="87"/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87"/>
      <c r="FS2" s="87"/>
      <c r="FT2" s="87"/>
      <c r="FU2" s="87"/>
      <c r="FV2" s="87"/>
      <c r="FW2" s="87"/>
      <c r="FX2" s="87"/>
      <c r="FY2" s="87"/>
      <c r="FZ2" s="87"/>
      <c r="GA2" s="87"/>
      <c r="GB2" s="87"/>
      <c r="GC2" s="87"/>
      <c r="GD2" s="87"/>
      <c r="GE2" s="87"/>
      <c r="GF2" s="87"/>
      <c r="GG2" s="87"/>
      <c r="GH2" s="87"/>
      <c r="GI2" s="87"/>
      <c r="GJ2" s="87"/>
      <c r="GK2" s="87"/>
      <c r="GL2" s="87"/>
      <c r="GM2" s="87"/>
      <c r="GN2" s="87"/>
      <c r="GO2" s="87"/>
      <c r="GP2" s="87"/>
      <c r="GQ2" s="87"/>
      <c r="GR2" s="87"/>
      <c r="GS2" s="87"/>
      <c r="GT2" s="87"/>
      <c r="GU2" s="87"/>
      <c r="GV2" s="87"/>
      <c r="GW2" s="87"/>
      <c r="GX2" s="87"/>
      <c r="GY2" s="87"/>
      <c r="GZ2" s="87"/>
      <c r="HA2" s="87"/>
      <c r="HB2" s="87"/>
      <c r="HC2" s="87"/>
      <c r="HD2" s="87"/>
      <c r="HE2" s="87"/>
      <c r="HF2" s="87"/>
      <c r="HG2" s="87"/>
      <c r="HH2" s="87"/>
      <c r="HI2" s="87"/>
      <c r="HJ2" s="87"/>
      <c r="HK2" s="87"/>
      <c r="HL2" s="87"/>
      <c r="HM2" s="87"/>
      <c r="HN2" s="87"/>
      <c r="HO2" s="87"/>
      <c r="HP2" s="87"/>
      <c r="HQ2" s="87"/>
      <c r="HR2" s="87"/>
      <c r="HS2" s="87"/>
      <c r="HT2" s="87"/>
      <c r="HU2" s="87"/>
      <c r="HV2" s="87"/>
      <c r="HW2" s="87"/>
      <c r="HX2" s="87"/>
      <c r="HY2" s="87"/>
      <c r="HZ2" s="87"/>
      <c r="IA2" s="87"/>
      <c r="IB2" s="87"/>
      <c r="IC2" s="87"/>
      <c r="ID2" s="87"/>
      <c r="IE2" s="87"/>
      <c r="IF2" s="87"/>
      <c r="IG2" s="87"/>
      <c r="IH2" s="87"/>
      <c r="II2" s="87"/>
      <c r="IJ2" s="87"/>
      <c r="IK2" s="87"/>
      <c r="IL2" s="87"/>
      <c r="IM2" s="87"/>
      <c r="IN2" s="87"/>
      <c r="IO2" s="87"/>
      <c r="IP2" s="87"/>
      <c r="IQ2" s="87"/>
      <c r="IR2" s="87"/>
      <c r="IS2" s="87"/>
      <c r="IT2" s="87"/>
      <c r="IU2" s="87"/>
      <c r="IV2" s="87"/>
      <c r="IW2" s="87"/>
      <c r="IX2" s="87"/>
      <c r="IY2" s="87"/>
      <c r="IZ2" s="87"/>
      <c r="JA2" s="87"/>
      <c r="JB2" s="87"/>
      <c r="JC2" s="87"/>
      <c r="JD2" s="87"/>
      <c r="JE2" s="87"/>
      <c r="JF2" s="87"/>
      <c r="JG2" s="87"/>
      <c r="JH2" s="87"/>
      <c r="JI2" s="87"/>
      <c r="JJ2" s="87"/>
      <c r="JK2" s="87"/>
      <c r="JL2" s="87"/>
      <c r="JM2" s="87"/>
      <c r="JN2" s="87"/>
      <c r="JO2" s="87"/>
      <c r="JP2" s="87"/>
      <c r="JQ2" s="87"/>
      <c r="JR2" s="87"/>
      <c r="JS2" s="87"/>
      <c r="JT2" s="87"/>
      <c r="JU2" s="87"/>
      <c r="JV2" s="87"/>
      <c r="JW2" s="87"/>
      <c r="JX2" s="87"/>
      <c r="JY2" s="87"/>
      <c r="JZ2" s="87"/>
      <c r="KA2" s="87"/>
      <c r="KB2" s="87"/>
      <c r="KC2" s="87"/>
      <c r="KD2" s="87"/>
      <c r="KE2" s="87"/>
      <c r="KF2" s="87"/>
      <c r="KG2" s="87"/>
      <c r="KH2" s="87"/>
      <c r="KI2" s="87"/>
      <c r="KJ2" s="87"/>
      <c r="KK2" s="87"/>
      <c r="KL2" s="87"/>
      <c r="KM2" s="87"/>
      <c r="KN2" s="87"/>
      <c r="KO2" s="87"/>
      <c r="KP2" s="87"/>
      <c r="KQ2" s="87"/>
      <c r="KR2" s="87"/>
      <c r="KS2" s="87"/>
      <c r="KT2" s="87"/>
      <c r="KU2" s="87"/>
      <c r="KV2" s="87"/>
      <c r="KW2" s="87"/>
      <c r="KX2" s="87"/>
      <c r="KY2" s="87"/>
      <c r="KZ2" s="87"/>
      <c r="LA2" s="87"/>
      <c r="LB2" s="87"/>
      <c r="LC2" s="87"/>
      <c r="LD2" s="87"/>
      <c r="LE2" s="87"/>
      <c r="LF2" s="87"/>
      <c r="LG2" s="87"/>
      <c r="LH2" s="87"/>
      <c r="LI2" s="87"/>
      <c r="LJ2" s="87"/>
      <c r="LK2" s="87"/>
      <c r="LL2" s="87"/>
      <c r="LM2" s="87"/>
      <c r="LN2" s="87"/>
      <c r="LO2" s="87"/>
      <c r="LP2" s="87"/>
      <c r="LQ2" s="87"/>
      <c r="LR2" s="87"/>
      <c r="LS2" s="87"/>
      <c r="LT2" s="87"/>
      <c r="LU2" s="87"/>
      <c r="LV2" s="87"/>
      <c r="LW2" s="87"/>
      <c r="LX2" s="87"/>
      <c r="LY2" s="87"/>
      <c r="LZ2" s="87"/>
      <c r="MA2" s="87"/>
      <c r="MB2" s="87"/>
      <c r="MC2" s="87"/>
      <c r="MD2" s="87"/>
      <c r="ME2" s="87"/>
      <c r="MF2" s="87"/>
      <c r="MG2" s="87"/>
      <c r="MH2" s="87"/>
      <c r="MI2" s="87"/>
      <c r="MJ2" s="87"/>
      <c r="MK2" s="87"/>
      <c r="ML2" s="87"/>
      <c r="MM2" s="87"/>
      <c r="MN2" s="87"/>
      <c r="MO2" s="87"/>
      <c r="MP2" s="87"/>
      <c r="MQ2" s="87"/>
      <c r="MR2" s="87"/>
      <c r="MS2" s="87"/>
      <c r="MT2" s="87"/>
      <c r="MU2" s="87"/>
      <c r="MV2" s="87"/>
      <c r="MW2" s="87"/>
      <c r="MX2" s="87"/>
      <c r="MY2" s="87"/>
      <c r="MZ2" s="87"/>
      <c r="NA2" s="87"/>
      <c r="NB2" s="87"/>
      <c r="NC2" s="87"/>
      <c r="ND2" s="87"/>
      <c r="NE2" s="87"/>
      <c r="NF2" s="87"/>
      <c r="NG2" s="87"/>
      <c r="NH2" s="87"/>
      <c r="NI2" s="87"/>
      <c r="NJ2" s="57"/>
      <c r="NK2" s="57"/>
    </row>
    <row r="3" spans="1:375" x14ac:dyDescent="0.2">
      <c r="A3" s="36" t="s">
        <v>17</v>
      </c>
      <c r="B3" s="37">
        <v>42023</v>
      </c>
      <c r="C3" s="26"/>
      <c r="D3" s="26"/>
      <c r="E3" s="25"/>
      <c r="F3" s="26"/>
      <c r="G3" s="26"/>
      <c r="H3" s="26"/>
      <c r="I3" s="27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61"/>
      <c r="CD3" s="61"/>
      <c r="CE3" s="61"/>
      <c r="CF3" s="61"/>
      <c r="CG3" s="61"/>
      <c r="CH3" s="61"/>
      <c r="CI3" s="87"/>
      <c r="CJ3" s="87"/>
      <c r="CK3" s="87"/>
      <c r="CL3" s="87"/>
      <c r="CM3" s="87"/>
      <c r="CN3" s="87"/>
      <c r="CO3" s="87"/>
      <c r="CP3" s="87"/>
      <c r="CQ3" s="87"/>
      <c r="CR3" s="87"/>
      <c r="CS3" s="87"/>
      <c r="CT3" s="87"/>
      <c r="CU3" s="87"/>
      <c r="CV3" s="87"/>
      <c r="CW3" s="87"/>
      <c r="CX3" s="87"/>
      <c r="CY3" s="87"/>
      <c r="CZ3" s="87"/>
      <c r="DA3" s="87"/>
      <c r="DB3" s="87"/>
      <c r="DC3" s="87"/>
      <c r="DD3" s="87"/>
      <c r="DE3" s="87"/>
      <c r="DF3" s="87"/>
      <c r="DG3" s="87"/>
      <c r="DH3" s="87"/>
      <c r="DI3" s="87"/>
      <c r="DJ3" s="87"/>
      <c r="DK3" s="87"/>
      <c r="DL3" s="87"/>
      <c r="DM3" s="87"/>
      <c r="DN3" s="87"/>
      <c r="DO3" s="87"/>
      <c r="DP3" s="87"/>
      <c r="DQ3" s="87"/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87"/>
      <c r="EI3" s="87"/>
      <c r="EJ3" s="87"/>
      <c r="EK3" s="87"/>
      <c r="EL3" s="87"/>
      <c r="EM3" s="87"/>
      <c r="EN3" s="87"/>
      <c r="EO3" s="87"/>
      <c r="EP3" s="87"/>
      <c r="EQ3" s="87"/>
      <c r="ER3" s="87"/>
      <c r="ES3" s="87"/>
      <c r="ET3" s="87"/>
      <c r="EU3" s="87"/>
      <c r="EV3" s="87"/>
      <c r="EW3" s="87"/>
      <c r="EX3" s="87"/>
      <c r="EY3" s="87"/>
      <c r="EZ3" s="87"/>
      <c r="FA3" s="87"/>
      <c r="FB3" s="87"/>
      <c r="FC3" s="87"/>
      <c r="FD3" s="87"/>
      <c r="FE3" s="87"/>
      <c r="FF3" s="87"/>
      <c r="FG3" s="87"/>
      <c r="FH3" s="87"/>
      <c r="FI3" s="87"/>
      <c r="FJ3" s="87"/>
      <c r="FK3" s="87"/>
      <c r="FL3" s="87"/>
      <c r="FM3" s="87"/>
      <c r="FN3" s="87"/>
      <c r="FO3" s="87"/>
      <c r="FP3" s="87"/>
      <c r="FQ3" s="87"/>
      <c r="FR3" s="87"/>
      <c r="FS3" s="87"/>
      <c r="FT3" s="87"/>
      <c r="FU3" s="87"/>
      <c r="FV3" s="87"/>
      <c r="FW3" s="87"/>
      <c r="FX3" s="87"/>
      <c r="FY3" s="87"/>
      <c r="FZ3" s="87"/>
      <c r="GA3" s="87"/>
      <c r="GB3" s="87"/>
      <c r="GC3" s="87"/>
      <c r="GD3" s="87"/>
      <c r="GE3" s="87"/>
      <c r="GF3" s="87"/>
      <c r="GG3" s="87"/>
      <c r="GH3" s="87"/>
      <c r="GI3" s="87"/>
      <c r="GJ3" s="87"/>
      <c r="GK3" s="87"/>
      <c r="GL3" s="87"/>
      <c r="GM3" s="87"/>
      <c r="GN3" s="87"/>
      <c r="GO3" s="87"/>
      <c r="GP3" s="87"/>
      <c r="GQ3" s="87"/>
      <c r="GR3" s="87"/>
      <c r="GS3" s="87"/>
      <c r="GT3" s="87"/>
      <c r="GU3" s="87"/>
      <c r="GV3" s="87"/>
      <c r="GW3" s="87"/>
      <c r="GX3" s="87"/>
      <c r="GY3" s="87"/>
      <c r="GZ3" s="87"/>
      <c r="HA3" s="87"/>
      <c r="HB3" s="87"/>
      <c r="HC3" s="87"/>
      <c r="HD3" s="87"/>
      <c r="HE3" s="87"/>
      <c r="HF3" s="87"/>
      <c r="HG3" s="87"/>
      <c r="HH3" s="87"/>
      <c r="HI3" s="87"/>
      <c r="HJ3" s="87"/>
      <c r="HK3" s="87"/>
      <c r="HL3" s="87"/>
      <c r="HM3" s="87"/>
      <c r="HN3" s="87"/>
      <c r="HO3" s="87"/>
      <c r="HP3" s="87"/>
      <c r="HQ3" s="87"/>
      <c r="HR3" s="87"/>
      <c r="HS3" s="87"/>
      <c r="HT3" s="87"/>
      <c r="HU3" s="87"/>
      <c r="HV3" s="87"/>
      <c r="HW3" s="87"/>
      <c r="HX3" s="87"/>
      <c r="HY3" s="87"/>
      <c r="HZ3" s="87"/>
      <c r="IA3" s="87"/>
      <c r="IB3" s="87"/>
      <c r="IC3" s="87"/>
      <c r="ID3" s="87"/>
      <c r="IE3" s="87"/>
      <c r="IF3" s="87"/>
      <c r="IG3" s="87"/>
      <c r="IH3" s="87"/>
      <c r="II3" s="87"/>
      <c r="IJ3" s="87"/>
      <c r="IK3" s="87"/>
      <c r="IL3" s="87"/>
      <c r="IM3" s="87"/>
      <c r="IN3" s="87"/>
      <c r="IO3" s="87"/>
      <c r="IP3" s="87"/>
      <c r="IQ3" s="87"/>
      <c r="IR3" s="87"/>
      <c r="IS3" s="87"/>
      <c r="IT3" s="87"/>
      <c r="IU3" s="87"/>
      <c r="IV3" s="87"/>
      <c r="IW3" s="87"/>
      <c r="IX3" s="87"/>
      <c r="IY3" s="87"/>
      <c r="IZ3" s="87"/>
      <c r="JA3" s="87"/>
      <c r="JB3" s="87"/>
      <c r="JC3" s="87"/>
      <c r="JD3" s="87"/>
      <c r="JE3" s="87"/>
      <c r="JF3" s="87"/>
      <c r="JG3" s="87"/>
      <c r="JH3" s="87"/>
      <c r="JI3" s="87"/>
      <c r="JJ3" s="87"/>
      <c r="JK3" s="87"/>
      <c r="JL3" s="87"/>
      <c r="JM3" s="87"/>
      <c r="JN3" s="87"/>
      <c r="JO3" s="87"/>
      <c r="JP3" s="87"/>
      <c r="JQ3" s="87"/>
      <c r="JR3" s="87"/>
      <c r="JS3" s="87"/>
      <c r="JT3" s="87"/>
      <c r="JU3" s="87"/>
      <c r="JV3" s="87"/>
      <c r="JW3" s="87"/>
      <c r="JX3" s="87"/>
      <c r="JY3" s="87"/>
      <c r="JZ3" s="87"/>
      <c r="KA3" s="87"/>
      <c r="KB3" s="87"/>
      <c r="KC3" s="87"/>
      <c r="KD3" s="87"/>
      <c r="KE3" s="87"/>
      <c r="KF3" s="87"/>
      <c r="KG3" s="87"/>
      <c r="KH3" s="87"/>
      <c r="KI3" s="87"/>
      <c r="KJ3" s="87"/>
      <c r="KK3" s="87"/>
      <c r="KL3" s="87"/>
      <c r="KM3" s="87"/>
      <c r="KN3" s="87"/>
      <c r="KO3" s="87"/>
      <c r="KP3" s="87"/>
      <c r="KQ3" s="87"/>
      <c r="KR3" s="87"/>
      <c r="KS3" s="87"/>
      <c r="KT3" s="87"/>
      <c r="KU3" s="87"/>
      <c r="KV3" s="87"/>
      <c r="KW3" s="87"/>
      <c r="KX3" s="87"/>
      <c r="KY3" s="87"/>
      <c r="KZ3" s="87"/>
      <c r="LA3" s="87"/>
      <c r="LB3" s="87"/>
      <c r="LC3" s="87"/>
      <c r="LD3" s="87"/>
      <c r="LE3" s="87"/>
      <c r="LF3" s="87"/>
      <c r="LG3" s="87"/>
      <c r="LH3" s="87"/>
      <c r="LI3" s="87"/>
      <c r="LJ3" s="87"/>
      <c r="LK3" s="87"/>
      <c r="LL3" s="87"/>
      <c r="LM3" s="87"/>
      <c r="LN3" s="87"/>
      <c r="LO3" s="87"/>
      <c r="LP3" s="87"/>
      <c r="LQ3" s="87"/>
      <c r="LR3" s="87"/>
      <c r="LS3" s="87"/>
      <c r="LT3" s="87"/>
      <c r="LU3" s="87"/>
      <c r="LV3" s="87"/>
      <c r="LW3" s="87"/>
      <c r="LX3" s="87"/>
      <c r="LY3" s="87"/>
      <c r="LZ3" s="87"/>
      <c r="MA3" s="87"/>
      <c r="MB3" s="87"/>
      <c r="MC3" s="87"/>
      <c r="MD3" s="87"/>
      <c r="ME3" s="87"/>
      <c r="MF3" s="87"/>
      <c r="MG3" s="87"/>
      <c r="MH3" s="87"/>
      <c r="MI3" s="87"/>
      <c r="MJ3" s="87"/>
      <c r="MK3" s="87"/>
      <c r="ML3" s="87"/>
      <c r="MM3" s="87"/>
      <c r="MN3" s="87"/>
      <c r="MO3" s="87"/>
      <c r="MP3" s="87"/>
      <c r="MQ3" s="87"/>
      <c r="MR3" s="87"/>
      <c r="MS3" s="87"/>
      <c r="MT3" s="87"/>
      <c r="MU3" s="87"/>
      <c r="MV3" s="87"/>
      <c r="MW3" s="87"/>
      <c r="MX3" s="87"/>
      <c r="MY3" s="87"/>
      <c r="MZ3" s="87"/>
      <c r="NA3" s="87"/>
      <c r="NB3" s="87"/>
      <c r="NC3" s="87"/>
      <c r="ND3" s="87"/>
      <c r="NE3" s="87"/>
      <c r="NF3" s="87"/>
      <c r="NG3" s="87"/>
      <c r="NH3" s="87"/>
      <c r="NI3" s="87"/>
      <c r="NJ3" s="57"/>
      <c r="NK3" s="57"/>
    </row>
    <row r="4" spans="1:375" x14ac:dyDescent="0.2">
      <c r="A4" s="38" t="s">
        <v>8</v>
      </c>
      <c r="B4" s="39">
        <f ca="1">TODAY()</f>
        <v>42071</v>
      </c>
      <c r="C4" s="24"/>
      <c r="D4" s="26"/>
      <c r="E4" s="26"/>
      <c r="F4" s="28"/>
      <c r="G4" s="28"/>
      <c r="H4" s="28"/>
      <c r="I4" s="2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61"/>
      <c r="CD4" s="61"/>
      <c r="CE4" s="61"/>
      <c r="CF4" s="61"/>
      <c r="CG4" s="61"/>
      <c r="CH4" s="61"/>
      <c r="CI4" s="87"/>
      <c r="CJ4" s="87"/>
      <c r="CK4" s="87"/>
      <c r="CL4" s="87"/>
      <c r="CM4" s="87"/>
      <c r="CN4" s="87"/>
      <c r="CO4" s="87"/>
      <c r="CP4" s="87"/>
      <c r="CQ4" s="87"/>
      <c r="CR4" s="87"/>
      <c r="CS4" s="87"/>
      <c r="CT4" s="87"/>
      <c r="CU4" s="87"/>
      <c r="CV4" s="87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  <c r="DR4" s="87"/>
      <c r="DS4" s="87"/>
      <c r="DT4" s="87"/>
      <c r="DU4" s="87"/>
      <c r="DV4" s="87"/>
      <c r="DW4" s="87"/>
      <c r="DX4" s="87"/>
      <c r="DY4" s="87"/>
      <c r="DZ4" s="87"/>
      <c r="EA4" s="87"/>
      <c r="EB4" s="87"/>
      <c r="EC4" s="87"/>
      <c r="ED4" s="87"/>
      <c r="EE4" s="87"/>
      <c r="EF4" s="87"/>
      <c r="EG4" s="87"/>
      <c r="EH4" s="87"/>
      <c r="EI4" s="87"/>
      <c r="EJ4" s="87"/>
      <c r="EK4" s="87"/>
      <c r="EL4" s="87"/>
      <c r="EM4" s="87"/>
      <c r="EN4" s="87"/>
      <c r="EO4" s="87"/>
      <c r="EP4" s="87"/>
      <c r="EQ4" s="87"/>
      <c r="ER4" s="87"/>
      <c r="ES4" s="87"/>
      <c r="ET4" s="87"/>
      <c r="EU4" s="87"/>
      <c r="EV4" s="87"/>
      <c r="EW4" s="87"/>
      <c r="EX4" s="87"/>
      <c r="EY4" s="87"/>
      <c r="EZ4" s="87"/>
      <c r="FA4" s="87"/>
      <c r="FB4" s="87"/>
      <c r="FC4" s="87"/>
      <c r="FD4" s="87"/>
      <c r="FE4" s="87"/>
      <c r="FF4" s="87"/>
      <c r="FG4" s="87"/>
      <c r="FH4" s="87"/>
      <c r="FI4" s="87"/>
      <c r="FJ4" s="87"/>
      <c r="FK4" s="87"/>
      <c r="FL4" s="87"/>
      <c r="FM4" s="87"/>
      <c r="FN4" s="87"/>
      <c r="FO4" s="87"/>
      <c r="FP4" s="87"/>
      <c r="FQ4" s="87"/>
      <c r="FR4" s="87"/>
      <c r="FS4" s="87"/>
      <c r="FT4" s="87"/>
      <c r="FU4" s="87"/>
      <c r="FV4" s="87"/>
      <c r="FW4" s="87"/>
      <c r="FX4" s="87"/>
      <c r="FY4" s="87"/>
      <c r="FZ4" s="87"/>
      <c r="GA4" s="87"/>
      <c r="GB4" s="87"/>
      <c r="GC4" s="87"/>
      <c r="GD4" s="87"/>
      <c r="GE4" s="87"/>
      <c r="GF4" s="87"/>
      <c r="GG4" s="87"/>
      <c r="GH4" s="87"/>
      <c r="GI4" s="87"/>
      <c r="GJ4" s="87"/>
      <c r="GK4" s="87"/>
      <c r="GL4" s="87"/>
      <c r="GM4" s="87"/>
      <c r="GN4" s="87"/>
      <c r="GO4" s="87"/>
      <c r="GP4" s="87"/>
      <c r="GQ4" s="87"/>
      <c r="GR4" s="87"/>
      <c r="GS4" s="87"/>
      <c r="GT4" s="87"/>
      <c r="GU4" s="87"/>
      <c r="GV4" s="87"/>
      <c r="GW4" s="87"/>
      <c r="GX4" s="87"/>
      <c r="GY4" s="87"/>
      <c r="GZ4" s="87"/>
      <c r="HA4" s="87"/>
      <c r="HB4" s="87"/>
      <c r="HC4" s="87"/>
      <c r="HD4" s="87"/>
      <c r="HE4" s="87"/>
      <c r="HF4" s="87"/>
      <c r="HG4" s="87"/>
      <c r="HH4" s="87"/>
      <c r="HI4" s="87"/>
      <c r="HJ4" s="87"/>
      <c r="HK4" s="87"/>
      <c r="HL4" s="87"/>
      <c r="HM4" s="87"/>
      <c r="HN4" s="87"/>
      <c r="HO4" s="87"/>
      <c r="HP4" s="87"/>
      <c r="HQ4" s="87"/>
      <c r="HR4" s="87"/>
      <c r="HS4" s="87"/>
      <c r="HT4" s="87"/>
      <c r="HU4" s="87"/>
      <c r="HV4" s="87"/>
      <c r="HW4" s="87"/>
      <c r="HX4" s="87"/>
      <c r="HY4" s="87"/>
      <c r="HZ4" s="87"/>
      <c r="IA4" s="87"/>
      <c r="IB4" s="87"/>
      <c r="IC4" s="87"/>
      <c r="ID4" s="87"/>
      <c r="IE4" s="87"/>
      <c r="IF4" s="87"/>
      <c r="IG4" s="87"/>
      <c r="IH4" s="87"/>
      <c r="II4" s="87"/>
      <c r="IJ4" s="87"/>
      <c r="IK4" s="87"/>
      <c r="IL4" s="87"/>
      <c r="IM4" s="87"/>
      <c r="IN4" s="87"/>
      <c r="IO4" s="87"/>
      <c r="IP4" s="87"/>
      <c r="IQ4" s="87"/>
      <c r="IR4" s="87"/>
      <c r="IS4" s="87"/>
      <c r="IT4" s="87"/>
      <c r="IU4" s="87"/>
      <c r="IV4" s="87"/>
      <c r="IW4" s="87"/>
      <c r="IX4" s="87"/>
      <c r="IY4" s="87"/>
      <c r="IZ4" s="87"/>
      <c r="JA4" s="87"/>
      <c r="JB4" s="87"/>
      <c r="JC4" s="87"/>
      <c r="JD4" s="87"/>
      <c r="JE4" s="87"/>
      <c r="JF4" s="87"/>
      <c r="JG4" s="87"/>
      <c r="JH4" s="87"/>
      <c r="JI4" s="87"/>
      <c r="JJ4" s="87"/>
      <c r="JK4" s="87"/>
      <c r="JL4" s="87"/>
      <c r="JM4" s="87"/>
      <c r="JN4" s="87"/>
      <c r="JO4" s="87"/>
      <c r="JP4" s="87"/>
      <c r="JQ4" s="87"/>
      <c r="JR4" s="87"/>
      <c r="JS4" s="87"/>
      <c r="JT4" s="87"/>
      <c r="JU4" s="87"/>
      <c r="JV4" s="87"/>
      <c r="JW4" s="87"/>
      <c r="JX4" s="87"/>
      <c r="JY4" s="87"/>
      <c r="JZ4" s="87"/>
      <c r="KA4" s="87"/>
      <c r="KB4" s="87"/>
      <c r="KC4" s="87"/>
      <c r="KD4" s="87"/>
      <c r="KE4" s="87"/>
      <c r="KF4" s="87"/>
      <c r="KG4" s="87"/>
      <c r="KH4" s="87"/>
      <c r="KI4" s="87"/>
      <c r="KJ4" s="87"/>
      <c r="KK4" s="87"/>
      <c r="KL4" s="87"/>
      <c r="KM4" s="87"/>
      <c r="KN4" s="87"/>
      <c r="KO4" s="87"/>
      <c r="KP4" s="87"/>
      <c r="KQ4" s="87"/>
      <c r="KR4" s="87"/>
      <c r="KS4" s="87"/>
      <c r="KT4" s="87"/>
      <c r="KU4" s="87"/>
      <c r="KV4" s="87"/>
      <c r="KW4" s="87"/>
      <c r="KX4" s="87"/>
      <c r="KY4" s="87"/>
      <c r="KZ4" s="87"/>
      <c r="LA4" s="87"/>
      <c r="LB4" s="87"/>
      <c r="LC4" s="87"/>
      <c r="LD4" s="87"/>
      <c r="LE4" s="87"/>
      <c r="LF4" s="87"/>
      <c r="LG4" s="87"/>
      <c r="LH4" s="87"/>
      <c r="LI4" s="87"/>
      <c r="LJ4" s="87"/>
      <c r="LK4" s="87"/>
      <c r="LL4" s="87"/>
      <c r="LM4" s="87"/>
      <c r="LN4" s="87"/>
      <c r="LO4" s="87"/>
      <c r="LP4" s="87"/>
      <c r="LQ4" s="87"/>
      <c r="LR4" s="87"/>
      <c r="LS4" s="87"/>
      <c r="LT4" s="87"/>
      <c r="LU4" s="87"/>
      <c r="LV4" s="87"/>
      <c r="LW4" s="87"/>
      <c r="LX4" s="87"/>
      <c r="LY4" s="87"/>
      <c r="LZ4" s="87"/>
      <c r="MA4" s="87"/>
      <c r="MB4" s="87"/>
      <c r="MC4" s="87"/>
      <c r="MD4" s="87"/>
      <c r="ME4" s="87"/>
      <c r="MF4" s="87"/>
      <c r="MG4" s="87"/>
      <c r="MH4" s="87"/>
      <c r="MI4" s="87"/>
      <c r="MJ4" s="87"/>
      <c r="MK4" s="87"/>
      <c r="ML4" s="87"/>
      <c r="MM4" s="87"/>
      <c r="MN4" s="87"/>
      <c r="MO4" s="87"/>
      <c r="MP4" s="87"/>
      <c r="MQ4" s="87"/>
      <c r="MR4" s="87"/>
      <c r="MS4" s="87"/>
      <c r="MT4" s="87"/>
      <c r="MU4" s="87"/>
      <c r="MV4" s="87"/>
      <c r="MW4" s="87"/>
      <c r="MX4" s="87"/>
      <c r="MY4" s="87"/>
      <c r="MZ4" s="87"/>
      <c r="NA4" s="87"/>
      <c r="NB4" s="87"/>
      <c r="NC4" s="87"/>
      <c r="ND4" s="87"/>
      <c r="NE4" s="87"/>
      <c r="NF4" s="87"/>
      <c r="NG4" s="87"/>
      <c r="NH4" s="87"/>
      <c r="NI4" s="87"/>
      <c r="NJ4" s="57"/>
      <c r="NK4" s="57"/>
    </row>
    <row r="5" spans="1:375" ht="60.75" customHeight="1" x14ac:dyDescent="0.2">
      <c r="A5" s="63" t="s">
        <v>0</v>
      </c>
      <c r="B5" s="21" t="s">
        <v>16</v>
      </c>
      <c r="C5" s="22" t="s">
        <v>3</v>
      </c>
      <c r="D5" s="22" t="s">
        <v>5</v>
      </c>
      <c r="E5" s="22" t="s">
        <v>4</v>
      </c>
      <c r="F5" s="18" t="s">
        <v>26</v>
      </c>
      <c r="G5" s="23" t="s">
        <v>27</v>
      </c>
      <c r="H5" s="19" t="s">
        <v>28</v>
      </c>
      <c r="I5" s="20" t="s">
        <v>29</v>
      </c>
      <c r="J5" s="49">
        <f>J1</f>
        <v>42023</v>
      </c>
      <c r="K5" s="50">
        <f t="shared" ref="K5:BV5" si="2">K1</f>
        <v>42024</v>
      </c>
      <c r="L5" s="50">
        <f t="shared" si="2"/>
        <v>42025</v>
      </c>
      <c r="M5" s="50">
        <f t="shared" si="2"/>
        <v>42026</v>
      </c>
      <c r="N5" s="50">
        <f t="shared" si="2"/>
        <v>42027</v>
      </c>
      <c r="O5" s="50">
        <f t="shared" si="2"/>
        <v>42028</v>
      </c>
      <c r="P5" s="51">
        <f t="shared" si="2"/>
        <v>42029</v>
      </c>
      <c r="Q5" s="49">
        <f t="shared" si="2"/>
        <v>42030</v>
      </c>
      <c r="R5" s="50">
        <f t="shared" si="2"/>
        <v>42031</v>
      </c>
      <c r="S5" s="50">
        <f t="shared" si="2"/>
        <v>42032</v>
      </c>
      <c r="T5" s="50">
        <f t="shared" si="2"/>
        <v>42033</v>
      </c>
      <c r="U5" s="50">
        <f t="shared" si="2"/>
        <v>42034</v>
      </c>
      <c r="V5" s="50">
        <f t="shared" si="2"/>
        <v>42035</v>
      </c>
      <c r="W5" s="51">
        <f t="shared" si="2"/>
        <v>42036</v>
      </c>
      <c r="X5" s="49">
        <f t="shared" si="2"/>
        <v>42037</v>
      </c>
      <c r="Y5" s="50">
        <f t="shared" si="2"/>
        <v>42038</v>
      </c>
      <c r="Z5" s="50">
        <f t="shared" si="2"/>
        <v>42039</v>
      </c>
      <c r="AA5" s="50">
        <f t="shared" si="2"/>
        <v>42040</v>
      </c>
      <c r="AB5" s="50">
        <f t="shared" si="2"/>
        <v>42041</v>
      </c>
      <c r="AC5" s="50">
        <f t="shared" si="2"/>
        <v>42042</v>
      </c>
      <c r="AD5" s="51">
        <f t="shared" si="2"/>
        <v>42043</v>
      </c>
      <c r="AE5" s="49">
        <f t="shared" si="2"/>
        <v>42044</v>
      </c>
      <c r="AF5" s="50">
        <f t="shared" si="2"/>
        <v>42045</v>
      </c>
      <c r="AG5" s="50">
        <f t="shared" si="2"/>
        <v>42046</v>
      </c>
      <c r="AH5" s="50">
        <f t="shared" si="2"/>
        <v>42047</v>
      </c>
      <c r="AI5" s="50">
        <f t="shared" si="2"/>
        <v>42048</v>
      </c>
      <c r="AJ5" s="50">
        <f t="shared" si="2"/>
        <v>42049</v>
      </c>
      <c r="AK5" s="51">
        <f t="shared" si="2"/>
        <v>42050</v>
      </c>
      <c r="AL5" s="49">
        <f t="shared" si="2"/>
        <v>42051</v>
      </c>
      <c r="AM5" s="50">
        <f t="shared" si="2"/>
        <v>42052</v>
      </c>
      <c r="AN5" s="50">
        <f t="shared" si="2"/>
        <v>42053</v>
      </c>
      <c r="AO5" s="50">
        <f t="shared" si="2"/>
        <v>42054</v>
      </c>
      <c r="AP5" s="50">
        <f t="shared" si="2"/>
        <v>42055</v>
      </c>
      <c r="AQ5" s="50">
        <f t="shared" si="2"/>
        <v>42056</v>
      </c>
      <c r="AR5" s="51">
        <f t="shared" si="2"/>
        <v>42057</v>
      </c>
      <c r="AS5" s="49">
        <f t="shared" si="2"/>
        <v>42058</v>
      </c>
      <c r="AT5" s="50">
        <f t="shared" si="2"/>
        <v>42059</v>
      </c>
      <c r="AU5" s="50">
        <f t="shared" si="2"/>
        <v>42060</v>
      </c>
      <c r="AV5" s="50">
        <f t="shared" si="2"/>
        <v>42061</v>
      </c>
      <c r="AW5" s="50">
        <f t="shared" si="2"/>
        <v>42062</v>
      </c>
      <c r="AX5" s="50">
        <f t="shared" si="2"/>
        <v>42063</v>
      </c>
      <c r="AY5" s="51">
        <f t="shared" si="2"/>
        <v>42064</v>
      </c>
      <c r="AZ5" s="49">
        <f t="shared" si="2"/>
        <v>42065</v>
      </c>
      <c r="BA5" s="50">
        <f t="shared" si="2"/>
        <v>42066</v>
      </c>
      <c r="BB5" s="50">
        <f t="shared" si="2"/>
        <v>42067</v>
      </c>
      <c r="BC5" s="50">
        <f t="shared" si="2"/>
        <v>42068</v>
      </c>
      <c r="BD5" s="50">
        <f t="shared" si="2"/>
        <v>42069</v>
      </c>
      <c r="BE5" s="50">
        <f t="shared" si="2"/>
        <v>42070</v>
      </c>
      <c r="BF5" s="51">
        <f t="shared" si="2"/>
        <v>42071</v>
      </c>
      <c r="BG5" s="49">
        <f t="shared" si="2"/>
        <v>42072</v>
      </c>
      <c r="BH5" s="50">
        <f t="shared" si="2"/>
        <v>42073</v>
      </c>
      <c r="BI5" s="50">
        <f t="shared" si="2"/>
        <v>42074</v>
      </c>
      <c r="BJ5" s="50">
        <f t="shared" si="2"/>
        <v>42075</v>
      </c>
      <c r="BK5" s="50">
        <f t="shared" si="2"/>
        <v>42076</v>
      </c>
      <c r="BL5" s="50">
        <f t="shared" si="2"/>
        <v>42077</v>
      </c>
      <c r="BM5" s="51">
        <f t="shared" si="2"/>
        <v>42078</v>
      </c>
      <c r="BN5" s="49">
        <f t="shared" si="2"/>
        <v>42079</v>
      </c>
      <c r="BO5" s="50">
        <f t="shared" si="2"/>
        <v>42080</v>
      </c>
      <c r="BP5" s="50">
        <f t="shared" si="2"/>
        <v>42081</v>
      </c>
      <c r="BQ5" s="50">
        <f t="shared" si="2"/>
        <v>42082</v>
      </c>
      <c r="BR5" s="50">
        <f t="shared" si="2"/>
        <v>42083</v>
      </c>
      <c r="BS5" s="50">
        <f t="shared" si="2"/>
        <v>42084</v>
      </c>
      <c r="BT5" s="51">
        <f t="shared" si="2"/>
        <v>42085</v>
      </c>
      <c r="BU5" s="49">
        <f t="shared" si="2"/>
        <v>42086</v>
      </c>
      <c r="BV5" s="50">
        <f t="shared" si="2"/>
        <v>42087</v>
      </c>
      <c r="BW5" s="50">
        <f t="shared" ref="BW5:CB5" si="3">BW1</f>
        <v>42088</v>
      </c>
      <c r="BX5" s="50">
        <f t="shared" si="3"/>
        <v>42089</v>
      </c>
      <c r="BY5" s="50">
        <f t="shared" si="3"/>
        <v>42090</v>
      </c>
      <c r="BZ5" s="50">
        <f t="shared" si="3"/>
        <v>42091</v>
      </c>
      <c r="CA5" s="51">
        <f t="shared" si="3"/>
        <v>42092</v>
      </c>
      <c r="CB5" s="49">
        <f t="shared" si="3"/>
        <v>42093</v>
      </c>
      <c r="CC5" s="58"/>
      <c r="CD5" s="58"/>
      <c r="CE5" s="58"/>
      <c r="CF5" s="58"/>
      <c r="CG5" s="58"/>
      <c r="CH5" s="58"/>
      <c r="CI5" s="59"/>
      <c r="CJ5" s="58"/>
      <c r="CK5" s="58"/>
      <c r="CL5" s="58"/>
      <c r="CM5" s="58"/>
      <c r="CN5" s="58"/>
      <c r="CO5" s="58"/>
      <c r="CP5" s="59"/>
      <c r="CQ5" s="58"/>
      <c r="CR5" s="58"/>
      <c r="CS5" s="58"/>
      <c r="CT5" s="58"/>
      <c r="CU5" s="58"/>
      <c r="CV5" s="58"/>
      <c r="CW5" s="59"/>
      <c r="CX5" s="58"/>
      <c r="CY5" s="58"/>
      <c r="CZ5" s="58"/>
      <c r="DA5" s="58"/>
      <c r="DB5" s="58"/>
      <c r="DC5" s="58"/>
      <c r="DD5" s="59"/>
      <c r="DE5" s="58"/>
      <c r="DF5" s="58"/>
      <c r="DG5" s="58"/>
      <c r="DH5" s="58"/>
      <c r="DI5" s="58"/>
      <c r="DJ5" s="58"/>
      <c r="DK5" s="59"/>
      <c r="DL5" s="58"/>
      <c r="DM5" s="58"/>
      <c r="DN5" s="58"/>
      <c r="DO5" s="58"/>
      <c r="DP5" s="58"/>
      <c r="DQ5" s="58"/>
      <c r="DR5" s="59"/>
      <c r="DS5" s="58"/>
      <c r="DT5" s="58"/>
      <c r="DU5" s="58"/>
      <c r="DV5" s="58"/>
      <c r="DW5" s="58"/>
      <c r="DX5" s="58"/>
      <c r="DY5" s="59"/>
      <c r="DZ5" s="58"/>
      <c r="EA5" s="58"/>
      <c r="EB5" s="58"/>
      <c r="EC5" s="58"/>
      <c r="ED5" s="58"/>
      <c r="EE5" s="58"/>
      <c r="EF5" s="59"/>
      <c r="EG5" s="58"/>
      <c r="EH5" s="58"/>
      <c r="EI5" s="58"/>
      <c r="EJ5" s="58"/>
      <c r="EK5" s="58"/>
      <c r="EL5" s="58"/>
      <c r="EM5" s="59"/>
      <c r="EN5" s="58"/>
      <c r="EO5" s="58"/>
      <c r="EP5" s="58"/>
      <c r="EQ5" s="58"/>
      <c r="ER5" s="58"/>
      <c r="ES5" s="58"/>
      <c r="ET5" s="59"/>
      <c r="EU5" s="58"/>
      <c r="EV5" s="58"/>
      <c r="EW5" s="58"/>
      <c r="EX5" s="58"/>
      <c r="EY5" s="58"/>
      <c r="EZ5" s="58"/>
      <c r="FA5" s="59"/>
      <c r="FB5" s="58"/>
      <c r="FC5" s="58"/>
      <c r="FD5" s="58"/>
      <c r="FE5" s="58"/>
      <c r="FF5" s="58"/>
      <c r="FG5" s="58"/>
      <c r="FH5" s="59"/>
      <c r="FI5" s="58"/>
      <c r="FJ5" s="58"/>
      <c r="FK5" s="58"/>
      <c r="FL5" s="58"/>
      <c r="FM5" s="58"/>
      <c r="FN5" s="58"/>
      <c r="FO5" s="59"/>
      <c r="FP5" s="58"/>
      <c r="FQ5" s="58"/>
      <c r="FR5" s="58"/>
      <c r="FS5" s="58"/>
      <c r="FT5" s="58"/>
      <c r="FU5" s="58"/>
      <c r="FV5" s="59"/>
      <c r="FW5" s="58"/>
      <c r="FX5" s="58"/>
      <c r="FY5" s="58"/>
      <c r="FZ5" s="58"/>
      <c r="GA5" s="58"/>
      <c r="GB5" s="58"/>
      <c r="GC5" s="59"/>
      <c r="GD5" s="58"/>
      <c r="GE5" s="58"/>
      <c r="GF5" s="58"/>
      <c r="GG5" s="58"/>
      <c r="GH5" s="58"/>
      <c r="GI5" s="58"/>
      <c r="GJ5" s="59"/>
      <c r="GK5" s="58"/>
      <c r="GL5" s="58"/>
      <c r="GM5" s="58"/>
      <c r="GN5" s="58"/>
      <c r="GO5" s="58"/>
      <c r="GP5" s="58"/>
      <c r="GQ5" s="59"/>
      <c r="GR5" s="58"/>
      <c r="GS5" s="58"/>
      <c r="GT5" s="58"/>
      <c r="GU5" s="58"/>
      <c r="GV5" s="58"/>
      <c r="GW5" s="58"/>
      <c r="GX5" s="59"/>
      <c r="GY5" s="58"/>
      <c r="GZ5" s="58"/>
      <c r="HA5" s="58"/>
      <c r="HB5" s="58"/>
      <c r="HC5" s="58"/>
      <c r="HD5" s="58"/>
      <c r="HE5" s="59"/>
      <c r="HF5" s="58"/>
      <c r="HG5" s="58"/>
      <c r="HH5" s="58"/>
      <c r="HI5" s="58"/>
      <c r="HJ5" s="58"/>
      <c r="HK5" s="58"/>
      <c r="HL5" s="59"/>
      <c r="HM5" s="58"/>
      <c r="HN5" s="58"/>
      <c r="HO5" s="58"/>
      <c r="HP5" s="58"/>
      <c r="HQ5" s="58"/>
      <c r="HR5" s="58"/>
      <c r="HS5" s="59"/>
      <c r="HT5" s="58"/>
      <c r="HU5" s="58"/>
      <c r="HV5" s="58"/>
      <c r="HW5" s="58"/>
      <c r="HX5" s="58"/>
      <c r="HY5" s="58"/>
      <c r="HZ5" s="59"/>
      <c r="IA5" s="58"/>
      <c r="IB5" s="58"/>
      <c r="IC5" s="58"/>
      <c r="ID5" s="58"/>
      <c r="IE5" s="58"/>
      <c r="IF5" s="58"/>
      <c r="IG5" s="59"/>
      <c r="IH5" s="58"/>
      <c r="II5" s="58"/>
      <c r="IJ5" s="58"/>
      <c r="IK5" s="58"/>
      <c r="IL5" s="58"/>
      <c r="IM5" s="58"/>
      <c r="IN5" s="59"/>
      <c r="IO5" s="58"/>
      <c r="IP5" s="58"/>
      <c r="IQ5" s="58"/>
      <c r="IR5" s="58"/>
      <c r="IS5" s="58"/>
      <c r="IT5" s="58"/>
      <c r="IU5" s="59"/>
      <c r="IV5" s="58"/>
      <c r="IW5" s="58"/>
      <c r="IX5" s="58"/>
      <c r="IY5" s="58"/>
      <c r="IZ5" s="58"/>
      <c r="JA5" s="58"/>
      <c r="JB5" s="59"/>
      <c r="JC5" s="58"/>
      <c r="JD5" s="58"/>
      <c r="JE5" s="58"/>
      <c r="JF5" s="58"/>
      <c r="JG5" s="58"/>
      <c r="JH5" s="58"/>
      <c r="JI5" s="59"/>
      <c r="JJ5" s="58"/>
      <c r="JK5" s="58"/>
      <c r="JL5" s="58"/>
      <c r="JM5" s="58"/>
      <c r="JN5" s="58"/>
      <c r="JO5" s="58"/>
      <c r="JP5" s="59"/>
      <c r="JQ5" s="58"/>
      <c r="JR5" s="58"/>
      <c r="JS5" s="58"/>
      <c r="JT5" s="58"/>
      <c r="JU5" s="58"/>
      <c r="JV5" s="58"/>
      <c r="JW5" s="59"/>
      <c r="JX5" s="58"/>
      <c r="JY5" s="58"/>
      <c r="JZ5" s="58"/>
      <c r="KA5" s="58"/>
      <c r="KB5" s="58"/>
      <c r="KC5" s="58"/>
      <c r="KD5" s="59"/>
      <c r="KE5" s="58"/>
      <c r="KF5" s="58"/>
      <c r="KG5" s="58"/>
      <c r="KH5" s="58"/>
      <c r="KI5" s="58"/>
      <c r="KJ5" s="58"/>
      <c r="KK5" s="59"/>
      <c r="KL5" s="58"/>
      <c r="KM5" s="58"/>
      <c r="KN5" s="58"/>
      <c r="KO5" s="58"/>
      <c r="KP5" s="58"/>
      <c r="KQ5" s="58"/>
      <c r="KR5" s="59"/>
      <c r="KS5" s="58"/>
      <c r="KT5" s="58"/>
      <c r="KU5" s="58"/>
      <c r="KV5" s="58"/>
      <c r="KW5" s="58"/>
      <c r="KX5" s="58"/>
      <c r="KY5" s="59"/>
      <c r="KZ5" s="58"/>
      <c r="LA5" s="58"/>
      <c r="LB5" s="58"/>
      <c r="LC5" s="58"/>
      <c r="LD5" s="58"/>
      <c r="LE5" s="58"/>
      <c r="LF5" s="59"/>
      <c r="LG5" s="58"/>
      <c r="LH5" s="58"/>
      <c r="LI5" s="58"/>
      <c r="LJ5" s="58"/>
      <c r="LK5" s="58"/>
      <c r="LL5" s="58"/>
      <c r="LM5" s="59"/>
      <c r="LN5" s="58"/>
      <c r="LO5" s="58"/>
      <c r="LP5" s="58"/>
      <c r="LQ5" s="58"/>
      <c r="LR5" s="58"/>
      <c r="LS5" s="58"/>
      <c r="LT5" s="59"/>
      <c r="LU5" s="58"/>
      <c r="LV5" s="58"/>
      <c r="LW5" s="58"/>
      <c r="LX5" s="58"/>
      <c r="LY5" s="58"/>
      <c r="LZ5" s="58"/>
      <c r="MA5" s="59"/>
      <c r="MB5" s="58"/>
      <c r="MC5" s="58"/>
      <c r="MD5" s="58"/>
      <c r="ME5" s="58"/>
      <c r="MF5" s="58"/>
      <c r="MG5" s="58"/>
      <c r="MH5" s="59"/>
      <c r="MI5" s="58"/>
      <c r="MJ5" s="58"/>
      <c r="MK5" s="58"/>
      <c r="ML5" s="58"/>
      <c r="MM5" s="58"/>
      <c r="MN5" s="58"/>
      <c r="MO5" s="59"/>
      <c r="MP5" s="58"/>
      <c r="MQ5" s="58"/>
      <c r="MR5" s="58"/>
      <c r="MS5" s="58"/>
      <c r="MT5" s="58"/>
      <c r="MU5" s="58"/>
      <c r="MV5" s="59"/>
      <c r="MW5" s="58"/>
      <c r="MX5" s="58"/>
      <c r="MY5" s="58"/>
      <c r="MZ5" s="58"/>
      <c r="NA5" s="58"/>
      <c r="NB5" s="58"/>
      <c r="NC5" s="59"/>
      <c r="ND5" s="58"/>
      <c r="NE5" s="58"/>
      <c r="NF5" s="58"/>
      <c r="NG5" s="58"/>
      <c r="NH5" s="58"/>
      <c r="NI5" s="58"/>
      <c r="NJ5" s="57"/>
      <c r="NK5" s="57"/>
    </row>
    <row r="6" spans="1:375" x14ac:dyDescent="0.2">
      <c r="A6" s="29">
        <v>1</v>
      </c>
      <c r="B6" s="30" t="s">
        <v>18</v>
      </c>
      <c r="C6" s="31">
        <v>42023</v>
      </c>
      <c r="D6" s="31">
        <v>42051</v>
      </c>
      <c r="E6" s="83"/>
      <c r="F6" s="65">
        <f>IF(ISBLANK(A6),"",IF(OR(ISBLANK(C6),ISBLANK(D6)),0,D6-C6))</f>
        <v>28</v>
      </c>
      <c r="G6" s="68">
        <f t="shared" ref="G6:G49" ca="1" si="4">IF(ISBLANK(A6),"",IF(OR(ISBLANK(C6),ISBLANK(D6)),0,IF(Today&lt;C6,0,IF(ISBLANK(E6),Today-1,E6)-C6)))</f>
        <v>47</v>
      </c>
      <c r="H6" s="68">
        <f t="shared" ref="H6:H49" ca="1" si="5">IF(ISBLANK(A6),"",IF(OR(ISBLANK(C6),ISBLANK(D6)),0,IF(OR(Today&gt;D6,NOT(ISBLANK(E6))),0,IF(Today&lt;C6,D6-C6,D6-Today))))</f>
        <v>0</v>
      </c>
      <c r="I6" s="69">
        <f t="shared" ref="I6:I49" si="6">IF(ISBLANK(A6),"",IF(NOT(ISBLANK(E6)),IF(E6&gt;D6,E6-D6,0),0))</f>
        <v>0</v>
      </c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  <c r="HO6" s="55"/>
      <c r="HP6" s="55"/>
      <c r="HQ6" s="55"/>
      <c r="HR6" s="55"/>
      <c r="HS6" s="55"/>
      <c r="HT6" s="55"/>
      <c r="HU6" s="55"/>
      <c r="HV6" s="55"/>
      <c r="HW6" s="55"/>
      <c r="HX6" s="55"/>
      <c r="HY6" s="55"/>
      <c r="HZ6" s="55"/>
      <c r="IA6" s="55"/>
      <c r="IB6" s="55"/>
      <c r="IC6" s="55"/>
      <c r="ID6" s="55"/>
      <c r="IE6" s="55"/>
      <c r="IF6" s="55"/>
      <c r="IG6" s="55"/>
      <c r="IH6" s="55"/>
      <c r="II6" s="55"/>
      <c r="IJ6" s="55"/>
      <c r="IK6" s="55"/>
      <c r="IL6" s="55"/>
      <c r="IM6" s="55"/>
      <c r="IN6" s="55"/>
      <c r="IO6" s="55"/>
      <c r="IP6" s="55"/>
      <c r="IQ6" s="55"/>
      <c r="IR6" s="55"/>
      <c r="IS6" s="55"/>
      <c r="IT6" s="55"/>
      <c r="IU6" s="55"/>
      <c r="IV6" s="55"/>
      <c r="IW6" s="55"/>
      <c r="IX6" s="55"/>
      <c r="IY6" s="55"/>
      <c r="IZ6" s="55"/>
      <c r="JA6" s="55"/>
      <c r="JB6" s="55"/>
      <c r="JC6" s="55"/>
      <c r="JD6" s="55"/>
      <c r="JE6" s="55"/>
      <c r="JF6" s="55"/>
      <c r="JG6" s="55"/>
      <c r="JH6" s="55"/>
      <c r="JI6" s="55"/>
      <c r="JJ6" s="55"/>
      <c r="JK6" s="55"/>
      <c r="JL6" s="55"/>
      <c r="JM6" s="55"/>
      <c r="JN6" s="55"/>
      <c r="JO6" s="55"/>
      <c r="JP6" s="55"/>
      <c r="JQ6" s="55"/>
      <c r="JR6" s="55"/>
      <c r="JS6" s="55"/>
      <c r="JT6" s="55"/>
      <c r="JU6" s="55"/>
      <c r="JV6" s="55"/>
      <c r="JW6" s="55"/>
      <c r="JX6" s="55"/>
      <c r="JY6" s="55"/>
      <c r="JZ6" s="55"/>
      <c r="KA6" s="55"/>
      <c r="KB6" s="55"/>
      <c r="KC6" s="55"/>
      <c r="KD6" s="55"/>
      <c r="KE6" s="55"/>
      <c r="KF6" s="55"/>
      <c r="KG6" s="55"/>
      <c r="KH6" s="55"/>
      <c r="KI6" s="55"/>
      <c r="KJ6" s="55"/>
      <c r="KK6" s="55"/>
      <c r="KL6" s="55"/>
      <c r="KM6" s="55"/>
      <c r="KN6" s="55"/>
      <c r="KO6" s="55"/>
      <c r="KP6" s="55"/>
      <c r="KQ6" s="55"/>
      <c r="KR6" s="55"/>
      <c r="KS6" s="55"/>
      <c r="KT6" s="55"/>
      <c r="KU6" s="55"/>
      <c r="KV6" s="55"/>
      <c r="KW6" s="55"/>
      <c r="KX6" s="55"/>
      <c r="KY6" s="55"/>
      <c r="KZ6" s="55"/>
      <c r="LA6" s="55"/>
      <c r="LB6" s="55"/>
      <c r="LC6" s="55"/>
      <c r="LD6" s="55"/>
      <c r="LE6" s="55"/>
      <c r="LF6" s="55"/>
      <c r="LG6" s="55"/>
      <c r="LH6" s="55"/>
      <c r="LI6" s="55"/>
      <c r="LJ6" s="55"/>
      <c r="LK6" s="55"/>
      <c r="LL6" s="55"/>
      <c r="LM6" s="55"/>
      <c r="LN6" s="55"/>
      <c r="LO6" s="55"/>
      <c r="LP6" s="55"/>
      <c r="LQ6" s="55"/>
      <c r="LR6" s="55"/>
      <c r="LS6" s="55"/>
      <c r="LT6" s="55"/>
      <c r="LU6" s="55"/>
      <c r="LV6" s="55"/>
      <c r="LW6" s="55"/>
      <c r="LX6" s="55"/>
      <c r="LY6" s="55"/>
      <c r="LZ6" s="55"/>
      <c r="MA6" s="55"/>
      <c r="MB6" s="55"/>
      <c r="MC6" s="55"/>
      <c r="MD6" s="55"/>
      <c r="ME6" s="55"/>
      <c r="MF6" s="55"/>
      <c r="MG6" s="55"/>
      <c r="MH6" s="55"/>
      <c r="MI6" s="55"/>
      <c r="MJ6" s="55"/>
      <c r="MK6" s="55"/>
      <c r="ML6" s="55"/>
      <c r="MM6" s="55"/>
      <c r="MN6" s="55"/>
      <c r="MO6" s="55"/>
      <c r="MP6" s="55"/>
      <c r="MQ6" s="55"/>
      <c r="MR6" s="55"/>
      <c r="MS6" s="55"/>
      <c r="MT6" s="55"/>
      <c r="MU6" s="55"/>
      <c r="MV6" s="55"/>
      <c r="MW6" s="55"/>
      <c r="MX6" s="55"/>
      <c r="MY6" s="55"/>
      <c r="MZ6" s="55"/>
      <c r="NA6" s="55"/>
      <c r="NB6" s="55"/>
      <c r="NC6" s="55"/>
      <c r="ND6" s="55"/>
      <c r="NE6" s="55"/>
      <c r="NF6" s="55"/>
      <c r="NG6" s="55"/>
      <c r="NH6" s="55"/>
      <c r="NI6" s="55"/>
      <c r="NJ6" s="14"/>
    </row>
    <row r="7" spans="1:375" x14ac:dyDescent="0.2">
      <c r="A7" s="15">
        <v>1.1000000000000001</v>
      </c>
      <c r="B7" s="16" t="s">
        <v>38</v>
      </c>
      <c r="C7" s="17">
        <v>42023</v>
      </c>
      <c r="D7" s="17">
        <v>42051</v>
      </c>
      <c r="E7" s="17"/>
      <c r="F7" s="72">
        <f t="shared" ref="F7:F48" si="7">IF(ISBLANK(A7),"",IF(OR(ISBLANK(C7),ISBLANK(D7)),0,D7-C7))</f>
        <v>28</v>
      </c>
      <c r="G7" s="77">
        <f t="shared" ca="1" si="4"/>
        <v>47</v>
      </c>
      <c r="H7" s="77">
        <f t="shared" ca="1" si="5"/>
        <v>0</v>
      </c>
      <c r="I7" s="72">
        <f t="shared" si="6"/>
        <v>0</v>
      </c>
      <c r="J7" s="73"/>
      <c r="K7" s="74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  <c r="HO7" s="55"/>
      <c r="HP7" s="55"/>
      <c r="HQ7" s="55"/>
      <c r="HR7" s="55"/>
      <c r="HS7" s="55"/>
      <c r="HT7" s="55"/>
      <c r="HU7" s="55"/>
      <c r="HV7" s="55"/>
      <c r="HW7" s="55"/>
      <c r="HX7" s="55"/>
      <c r="HY7" s="55"/>
      <c r="HZ7" s="55"/>
      <c r="IA7" s="55"/>
      <c r="IB7" s="55"/>
      <c r="IC7" s="55"/>
      <c r="ID7" s="55"/>
      <c r="IE7" s="55"/>
      <c r="IF7" s="55"/>
      <c r="IG7" s="55"/>
      <c r="IH7" s="55"/>
      <c r="II7" s="55"/>
      <c r="IJ7" s="55"/>
      <c r="IK7" s="55"/>
      <c r="IL7" s="55"/>
      <c r="IM7" s="55"/>
      <c r="IN7" s="55"/>
      <c r="IO7" s="55"/>
      <c r="IP7" s="55"/>
      <c r="IQ7" s="55"/>
      <c r="IR7" s="55"/>
      <c r="IS7" s="55"/>
      <c r="IT7" s="55"/>
      <c r="IU7" s="55"/>
      <c r="IV7" s="55"/>
      <c r="IW7" s="55"/>
      <c r="IX7" s="55"/>
      <c r="IY7" s="55"/>
      <c r="IZ7" s="55"/>
      <c r="JA7" s="55"/>
      <c r="JB7" s="55"/>
      <c r="JC7" s="55"/>
      <c r="JD7" s="55"/>
      <c r="JE7" s="55"/>
      <c r="JF7" s="55"/>
      <c r="JG7" s="55"/>
      <c r="JH7" s="55"/>
      <c r="JI7" s="55"/>
      <c r="JJ7" s="55"/>
      <c r="JK7" s="55"/>
      <c r="JL7" s="55"/>
      <c r="JM7" s="55"/>
      <c r="JN7" s="55"/>
      <c r="JO7" s="55"/>
      <c r="JP7" s="55"/>
      <c r="JQ7" s="55"/>
      <c r="JR7" s="55"/>
      <c r="JS7" s="55"/>
      <c r="JT7" s="55"/>
      <c r="JU7" s="55"/>
      <c r="JV7" s="55"/>
      <c r="JW7" s="55"/>
      <c r="JX7" s="55"/>
      <c r="JY7" s="55"/>
      <c r="JZ7" s="55"/>
      <c r="KA7" s="55"/>
      <c r="KB7" s="55"/>
      <c r="KC7" s="55"/>
      <c r="KD7" s="55"/>
      <c r="KE7" s="55"/>
      <c r="KF7" s="55"/>
      <c r="KG7" s="55"/>
      <c r="KH7" s="55"/>
      <c r="KI7" s="55"/>
      <c r="KJ7" s="55"/>
      <c r="KK7" s="55"/>
      <c r="KL7" s="55"/>
      <c r="KM7" s="55"/>
      <c r="KN7" s="55"/>
      <c r="KO7" s="55"/>
      <c r="KP7" s="55"/>
      <c r="KQ7" s="55"/>
      <c r="KR7" s="55"/>
      <c r="KS7" s="55"/>
      <c r="KT7" s="55"/>
      <c r="KU7" s="55"/>
      <c r="KV7" s="55"/>
      <c r="KW7" s="55"/>
      <c r="KX7" s="55"/>
      <c r="KY7" s="55"/>
      <c r="KZ7" s="55"/>
      <c r="LA7" s="55"/>
      <c r="LB7" s="55"/>
      <c r="LC7" s="55"/>
      <c r="LD7" s="55"/>
      <c r="LE7" s="55"/>
      <c r="LF7" s="55"/>
      <c r="LG7" s="55"/>
      <c r="LH7" s="55"/>
      <c r="LI7" s="55"/>
      <c r="LJ7" s="55"/>
      <c r="LK7" s="55"/>
      <c r="LL7" s="55"/>
      <c r="LM7" s="55"/>
      <c r="LN7" s="55"/>
      <c r="LO7" s="55"/>
      <c r="LP7" s="55"/>
      <c r="LQ7" s="55"/>
      <c r="LR7" s="55"/>
      <c r="LS7" s="55"/>
      <c r="LT7" s="55"/>
      <c r="LU7" s="55"/>
      <c r="LV7" s="55"/>
      <c r="LW7" s="55"/>
      <c r="LX7" s="55"/>
      <c r="LY7" s="55"/>
      <c r="LZ7" s="55"/>
      <c r="MA7" s="55"/>
      <c r="MB7" s="55"/>
      <c r="MC7" s="55"/>
      <c r="MD7" s="55"/>
      <c r="ME7" s="55"/>
      <c r="MF7" s="55"/>
      <c r="MG7" s="55"/>
      <c r="MH7" s="55"/>
      <c r="MI7" s="55"/>
      <c r="MJ7" s="55"/>
      <c r="MK7" s="55"/>
      <c r="ML7" s="55"/>
      <c r="MM7" s="55"/>
      <c r="MN7" s="55"/>
      <c r="MO7" s="55"/>
      <c r="MP7" s="55"/>
      <c r="MQ7" s="55"/>
      <c r="MR7" s="55"/>
      <c r="MS7" s="55"/>
      <c r="MT7" s="55"/>
      <c r="MU7" s="55"/>
      <c r="MV7" s="55"/>
      <c r="MW7" s="55"/>
      <c r="MX7" s="55"/>
      <c r="MY7" s="55"/>
      <c r="MZ7" s="55"/>
      <c r="NA7" s="55"/>
      <c r="NB7" s="55"/>
      <c r="NC7" s="55"/>
      <c r="ND7" s="55"/>
      <c r="NE7" s="55"/>
      <c r="NF7" s="55"/>
      <c r="NG7" s="55"/>
      <c r="NH7" s="55"/>
      <c r="NI7" s="55"/>
      <c r="NJ7" s="14"/>
    </row>
    <row r="8" spans="1:375" x14ac:dyDescent="0.2">
      <c r="A8" s="15">
        <v>1.2</v>
      </c>
      <c r="B8" s="16" t="s">
        <v>30</v>
      </c>
      <c r="C8" s="17">
        <v>42040</v>
      </c>
      <c r="D8" s="17">
        <v>42040</v>
      </c>
      <c r="E8" s="17">
        <v>42040</v>
      </c>
      <c r="F8" s="78">
        <f t="shared" si="7"/>
        <v>0</v>
      </c>
      <c r="G8" s="79">
        <f t="shared" ca="1" si="4"/>
        <v>0</v>
      </c>
      <c r="H8" s="79">
        <f t="shared" ca="1" si="5"/>
        <v>0</v>
      </c>
      <c r="I8" s="78">
        <f t="shared" si="6"/>
        <v>0</v>
      </c>
      <c r="J8" s="75"/>
      <c r="K8" s="7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  <c r="IO8" s="55"/>
      <c r="IP8" s="55"/>
      <c r="IQ8" s="55"/>
      <c r="IR8" s="55"/>
      <c r="IS8" s="55"/>
      <c r="IT8" s="55"/>
      <c r="IU8" s="55"/>
      <c r="IV8" s="55"/>
      <c r="IW8" s="55"/>
      <c r="IX8" s="55"/>
      <c r="IY8" s="55"/>
      <c r="IZ8" s="55"/>
      <c r="JA8" s="55"/>
      <c r="JB8" s="55"/>
      <c r="JC8" s="55"/>
      <c r="JD8" s="55"/>
      <c r="JE8" s="55"/>
      <c r="JF8" s="55"/>
      <c r="JG8" s="55"/>
      <c r="JH8" s="55"/>
      <c r="JI8" s="55"/>
      <c r="JJ8" s="55"/>
      <c r="JK8" s="55"/>
      <c r="JL8" s="55"/>
      <c r="JM8" s="55"/>
      <c r="JN8" s="55"/>
      <c r="JO8" s="55"/>
      <c r="JP8" s="55"/>
      <c r="JQ8" s="55"/>
      <c r="JR8" s="55"/>
      <c r="JS8" s="55"/>
      <c r="JT8" s="55"/>
      <c r="JU8" s="55"/>
      <c r="JV8" s="55"/>
      <c r="JW8" s="55"/>
      <c r="JX8" s="55"/>
      <c r="JY8" s="55"/>
      <c r="JZ8" s="55"/>
      <c r="KA8" s="55"/>
      <c r="KB8" s="55"/>
      <c r="KC8" s="55"/>
      <c r="KD8" s="55"/>
      <c r="KE8" s="55"/>
      <c r="KF8" s="55"/>
      <c r="KG8" s="55"/>
      <c r="KH8" s="55"/>
      <c r="KI8" s="55"/>
      <c r="KJ8" s="55"/>
      <c r="KK8" s="55"/>
      <c r="KL8" s="55"/>
      <c r="KM8" s="55"/>
      <c r="KN8" s="55"/>
      <c r="KO8" s="55"/>
      <c r="KP8" s="55"/>
      <c r="KQ8" s="55"/>
      <c r="KR8" s="55"/>
      <c r="KS8" s="55"/>
      <c r="KT8" s="55"/>
      <c r="KU8" s="55"/>
      <c r="KV8" s="55"/>
      <c r="KW8" s="55"/>
      <c r="KX8" s="55"/>
      <c r="KY8" s="55"/>
      <c r="KZ8" s="55"/>
      <c r="LA8" s="55"/>
      <c r="LB8" s="55"/>
      <c r="LC8" s="55"/>
      <c r="LD8" s="55"/>
      <c r="LE8" s="55"/>
      <c r="LF8" s="55"/>
      <c r="LG8" s="55"/>
      <c r="LH8" s="55"/>
      <c r="LI8" s="55"/>
      <c r="LJ8" s="55"/>
      <c r="LK8" s="55"/>
      <c r="LL8" s="55"/>
      <c r="LM8" s="55"/>
      <c r="LN8" s="55"/>
      <c r="LO8" s="55"/>
      <c r="LP8" s="55"/>
      <c r="LQ8" s="55"/>
      <c r="LR8" s="55"/>
      <c r="LS8" s="55"/>
      <c r="LT8" s="55"/>
      <c r="LU8" s="55"/>
      <c r="LV8" s="55"/>
      <c r="LW8" s="55"/>
      <c r="LX8" s="55"/>
      <c r="LY8" s="55"/>
      <c r="LZ8" s="55"/>
      <c r="MA8" s="55"/>
      <c r="MB8" s="55"/>
      <c r="MC8" s="55"/>
      <c r="MD8" s="55"/>
      <c r="ME8" s="55"/>
      <c r="MF8" s="55"/>
      <c r="MG8" s="55"/>
      <c r="MH8" s="55"/>
      <c r="MI8" s="55"/>
      <c r="MJ8" s="55"/>
      <c r="MK8" s="55"/>
      <c r="ML8" s="55"/>
      <c r="MM8" s="55"/>
      <c r="MN8" s="55"/>
      <c r="MO8" s="55"/>
      <c r="MP8" s="55"/>
      <c r="MQ8" s="55"/>
      <c r="MR8" s="55"/>
      <c r="MS8" s="55"/>
      <c r="MT8" s="55"/>
      <c r="MU8" s="55"/>
      <c r="MV8" s="55"/>
      <c r="MW8" s="55"/>
      <c r="MX8" s="55"/>
      <c r="MY8" s="55"/>
      <c r="MZ8" s="55"/>
      <c r="NA8" s="55"/>
      <c r="NB8" s="55"/>
      <c r="NC8" s="55"/>
      <c r="ND8" s="55"/>
      <c r="NE8" s="55"/>
      <c r="NF8" s="55"/>
      <c r="NG8" s="55"/>
      <c r="NH8" s="55"/>
      <c r="NI8" s="55"/>
      <c r="NJ8" s="14"/>
    </row>
    <row r="9" spans="1:375" x14ac:dyDescent="0.2">
      <c r="A9" s="15">
        <v>1.3</v>
      </c>
      <c r="B9" s="16" t="s">
        <v>19</v>
      </c>
      <c r="C9" s="17">
        <v>42041</v>
      </c>
      <c r="D9" s="17">
        <v>42048</v>
      </c>
      <c r="E9" s="84">
        <v>42042</v>
      </c>
      <c r="F9" s="78">
        <f t="shared" si="7"/>
        <v>7</v>
      </c>
      <c r="G9" s="79">
        <f t="shared" ca="1" si="4"/>
        <v>1</v>
      </c>
      <c r="H9" s="79">
        <f t="shared" ca="1" si="5"/>
        <v>0</v>
      </c>
      <c r="I9" s="80">
        <f t="shared" si="6"/>
        <v>0</v>
      </c>
      <c r="J9" s="70"/>
      <c r="K9" s="71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  <c r="CW9" s="55"/>
      <c r="CX9" s="55"/>
      <c r="CY9" s="55"/>
      <c r="CZ9" s="55"/>
      <c r="DA9" s="55"/>
      <c r="DB9" s="55"/>
      <c r="DC9" s="55"/>
      <c r="DD9" s="55"/>
      <c r="DE9" s="55"/>
      <c r="DF9" s="55"/>
      <c r="DG9" s="55"/>
      <c r="DH9" s="55"/>
      <c r="DI9" s="55"/>
      <c r="DJ9" s="55"/>
      <c r="DK9" s="55"/>
      <c r="DL9" s="55"/>
      <c r="DM9" s="55"/>
      <c r="DN9" s="55"/>
      <c r="DO9" s="55"/>
      <c r="DP9" s="55"/>
      <c r="DQ9" s="55"/>
      <c r="DR9" s="55"/>
      <c r="DS9" s="55"/>
      <c r="DT9" s="55"/>
      <c r="DU9" s="55"/>
      <c r="DV9" s="55"/>
      <c r="DW9" s="55"/>
      <c r="DX9" s="55"/>
      <c r="DY9" s="55"/>
      <c r="DZ9" s="55"/>
      <c r="EA9" s="55"/>
      <c r="EB9" s="55"/>
      <c r="EC9" s="55"/>
      <c r="ED9" s="55"/>
      <c r="EE9" s="55"/>
      <c r="EF9" s="55"/>
      <c r="EG9" s="55"/>
      <c r="EH9" s="55"/>
      <c r="EI9" s="55"/>
      <c r="EJ9" s="55"/>
      <c r="EK9" s="55"/>
      <c r="EL9" s="55"/>
      <c r="EM9" s="55"/>
      <c r="EN9" s="55"/>
      <c r="EO9" s="55"/>
      <c r="EP9" s="55"/>
      <c r="EQ9" s="55"/>
      <c r="ER9" s="55"/>
      <c r="ES9" s="55"/>
      <c r="ET9" s="55"/>
      <c r="EU9" s="55"/>
      <c r="EV9" s="55"/>
      <c r="EW9" s="55"/>
      <c r="EX9" s="55"/>
      <c r="EY9" s="55"/>
      <c r="EZ9" s="55"/>
      <c r="FA9" s="55"/>
      <c r="FB9" s="55"/>
      <c r="FC9" s="55"/>
      <c r="FD9" s="55"/>
      <c r="FE9" s="55"/>
      <c r="FF9" s="55"/>
      <c r="FG9" s="55"/>
      <c r="FH9" s="55"/>
      <c r="FI9" s="55"/>
      <c r="FJ9" s="55"/>
      <c r="FK9" s="55"/>
      <c r="FL9" s="55"/>
      <c r="FM9" s="55"/>
      <c r="FN9" s="55"/>
      <c r="FO9" s="55"/>
      <c r="FP9" s="55"/>
      <c r="FQ9" s="55"/>
      <c r="FR9" s="55"/>
      <c r="FS9" s="55"/>
      <c r="FT9" s="55"/>
      <c r="FU9" s="55"/>
      <c r="FV9" s="55"/>
      <c r="FW9" s="55"/>
      <c r="FX9" s="55"/>
      <c r="FY9" s="55"/>
      <c r="FZ9" s="55"/>
      <c r="GA9" s="55"/>
      <c r="GB9" s="55"/>
      <c r="GC9" s="55"/>
      <c r="GD9" s="55"/>
      <c r="GE9" s="55"/>
      <c r="GF9" s="55"/>
      <c r="GG9" s="55"/>
      <c r="GH9" s="55"/>
      <c r="GI9" s="55"/>
      <c r="GJ9" s="55"/>
      <c r="GK9" s="55"/>
      <c r="GL9" s="55"/>
      <c r="GM9" s="55"/>
      <c r="GN9" s="55"/>
      <c r="GO9" s="55"/>
      <c r="GP9" s="55"/>
      <c r="GQ9" s="55"/>
      <c r="GR9" s="55"/>
      <c r="GS9" s="55"/>
      <c r="GT9" s="55"/>
      <c r="GU9" s="55"/>
      <c r="GV9" s="55"/>
      <c r="GW9" s="55"/>
      <c r="GX9" s="55"/>
      <c r="GY9" s="55"/>
      <c r="GZ9" s="55"/>
      <c r="HA9" s="55"/>
      <c r="HB9" s="55"/>
      <c r="HC9" s="55"/>
      <c r="HD9" s="55"/>
      <c r="HE9" s="55"/>
      <c r="HF9" s="55"/>
      <c r="HG9" s="55"/>
      <c r="HH9" s="55"/>
      <c r="HI9" s="55"/>
      <c r="HJ9" s="55"/>
      <c r="HK9" s="55"/>
      <c r="HL9" s="55"/>
      <c r="HM9" s="55"/>
      <c r="HN9" s="55"/>
      <c r="HO9" s="55"/>
      <c r="HP9" s="55"/>
      <c r="HQ9" s="55"/>
      <c r="HR9" s="55"/>
      <c r="HS9" s="55"/>
      <c r="HT9" s="55"/>
      <c r="HU9" s="55"/>
      <c r="HV9" s="55"/>
      <c r="HW9" s="55"/>
      <c r="HX9" s="55"/>
      <c r="HY9" s="55"/>
      <c r="HZ9" s="55"/>
      <c r="IA9" s="55"/>
      <c r="IB9" s="55"/>
      <c r="IC9" s="55"/>
      <c r="ID9" s="55"/>
      <c r="IE9" s="55"/>
      <c r="IF9" s="55"/>
      <c r="IG9" s="55"/>
      <c r="IH9" s="55"/>
      <c r="II9" s="55"/>
      <c r="IJ9" s="55"/>
      <c r="IK9" s="55"/>
      <c r="IL9" s="55"/>
      <c r="IM9" s="55"/>
      <c r="IN9" s="55"/>
      <c r="IO9" s="55"/>
      <c r="IP9" s="55"/>
      <c r="IQ9" s="55"/>
      <c r="IR9" s="55"/>
      <c r="IS9" s="55"/>
      <c r="IT9" s="55"/>
      <c r="IU9" s="55"/>
      <c r="IV9" s="55"/>
      <c r="IW9" s="55"/>
      <c r="IX9" s="55"/>
      <c r="IY9" s="55"/>
      <c r="IZ9" s="55"/>
      <c r="JA9" s="55"/>
      <c r="JB9" s="55"/>
      <c r="JC9" s="55"/>
      <c r="JD9" s="55"/>
      <c r="JE9" s="55"/>
      <c r="JF9" s="55"/>
      <c r="JG9" s="55"/>
      <c r="JH9" s="55"/>
      <c r="JI9" s="55"/>
      <c r="JJ9" s="55"/>
      <c r="JK9" s="55"/>
      <c r="JL9" s="55"/>
      <c r="JM9" s="55"/>
      <c r="JN9" s="55"/>
      <c r="JO9" s="55"/>
      <c r="JP9" s="55"/>
      <c r="JQ9" s="55"/>
      <c r="JR9" s="55"/>
      <c r="JS9" s="55"/>
      <c r="JT9" s="55"/>
      <c r="JU9" s="55"/>
      <c r="JV9" s="55"/>
      <c r="JW9" s="55"/>
      <c r="JX9" s="55"/>
      <c r="JY9" s="55"/>
      <c r="JZ9" s="55"/>
      <c r="KA9" s="55"/>
      <c r="KB9" s="55"/>
      <c r="KC9" s="55"/>
      <c r="KD9" s="55"/>
      <c r="KE9" s="55"/>
      <c r="KF9" s="55"/>
      <c r="KG9" s="55"/>
      <c r="KH9" s="55"/>
      <c r="KI9" s="55"/>
      <c r="KJ9" s="55"/>
      <c r="KK9" s="55"/>
      <c r="KL9" s="55"/>
      <c r="KM9" s="55"/>
      <c r="KN9" s="55"/>
      <c r="KO9" s="55"/>
      <c r="KP9" s="55"/>
      <c r="KQ9" s="55"/>
      <c r="KR9" s="55"/>
      <c r="KS9" s="55"/>
      <c r="KT9" s="55"/>
      <c r="KU9" s="55"/>
      <c r="KV9" s="55"/>
      <c r="KW9" s="55"/>
      <c r="KX9" s="55"/>
      <c r="KY9" s="55"/>
      <c r="KZ9" s="55"/>
      <c r="LA9" s="55"/>
      <c r="LB9" s="55"/>
      <c r="LC9" s="55"/>
      <c r="LD9" s="55"/>
      <c r="LE9" s="55"/>
      <c r="LF9" s="55"/>
      <c r="LG9" s="55"/>
      <c r="LH9" s="55"/>
      <c r="LI9" s="55"/>
      <c r="LJ9" s="55"/>
      <c r="LK9" s="55"/>
      <c r="LL9" s="55"/>
      <c r="LM9" s="55"/>
      <c r="LN9" s="55"/>
      <c r="LO9" s="55"/>
      <c r="LP9" s="55"/>
      <c r="LQ9" s="55"/>
      <c r="LR9" s="55"/>
      <c r="LS9" s="55"/>
      <c r="LT9" s="55"/>
      <c r="LU9" s="55"/>
      <c r="LV9" s="55"/>
      <c r="LW9" s="55"/>
      <c r="LX9" s="55"/>
      <c r="LY9" s="55"/>
      <c r="LZ9" s="55"/>
      <c r="MA9" s="55"/>
      <c r="MB9" s="55"/>
      <c r="MC9" s="55"/>
      <c r="MD9" s="55"/>
      <c r="ME9" s="55"/>
      <c r="MF9" s="55"/>
      <c r="MG9" s="55"/>
      <c r="MH9" s="55"/>
      <c r="MI9" s="55"/>
      <c r="MJ9" s="55"/>
      <c r="MK9" s="55"/>
      <c r="ML9" s="55"/>
      <c r="MM9" s="55"/>
      <c r="MN9" s="55"/>
      <c r="MO9" s="55"/>
      <c r="MP9" s="55"/>
      <c r="MQ9" s="55"/>
      <c r="MR9" s="55"/>
      <c r="MS9" s="55"/>
      <c r="MT9" s="55"/>
      <c r="MU9" s="55"/>
      <c r="MV9" s="55"/>
      <c r="MW9" s="55"/>
      <c r="MX9" s="55"/>
      <c r="MY9" s="55"/>
      <c r="MZ9" s="55"/>
      <c r="NA9" s="55"/>
      <c r="NB9" s="55"/>
      <c r="NC9" s="55"/>
      <c r="ND9" s="55"/>
      <c r="NE9" s="55"/>
      <c r="NF9" s="55"/>
      <c r="NG9" s="55"/>
      <c r="NH9" s="55"/>
      <c r="NI9" s="55"/>
      <c r="NJ9" s="14"/>
    </row>
    <row r="10" spans="1:375" x14ac:dyDescent="0.2">
      <c r="A10" s="15">
        <v>1.4</v>
      </c>
      <c r="B10" s="16" t="s">
        <v>34</v>
      </c>
      <c r="C10" s="17">
        <v>42044</v>
      </c>
      <c r="D10" s="17">
        <v>42046</v>
      </c>
      <c r="E10" s="84">
        <v>42044</v>
      </c>
      <c r="F10" s="78">
        <f t="shared" si="7"/>
        <v>2</v>
      </c>
      <c r="G10" s="79">
        <f t="shared" ca="1" si="4"/>
        <v>0</v>
      </c>
      <c r="H10" s="79">
        <f t="shared" ca="1" si="5"/>
        <v>0</v>
      </c>
      <c r="I10" s="80">
        <f t="shared" si="6"/>
        <v>0</v>
      </c>
      <c r="J10" s="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T10" s="55"/>
      <c r="CU10" s="55"/>
      <c r="CV10" s="55"/>
      <c r="CW10" s="55"/>
      <c r="CX10" s="55"/>
      <c r="CY10" s="55"/>
      <c r="CZ10" s="55"/>
      <c r="DA10" s="55"/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5"/>
      <c r="DR10" s="55"/>
      <c r="DS10" s="55"/>
      <c r="DT10" s="55"/>
      <c r="DU10" s="55"/>
      <c r="DV10" s="55"/>
      <c r="DW10" s="55"/>
      <c r="DX10" s="55"/>
      <c r="DY10" s="55"/>
      <c r="DZ10" s="55"/>
      <c r="EA10" s="55"/>
      <c r="EB10" s="55"/>
      <c r="EC10" s="55"/>
      <c r="ED10" s="55"/>
      <c r="EE10" s="55"/>
      <c r="EF10" s="55"/>
      <c r="EG10" s="55"/>
      <c r="EH10" s="55"/>
      <c r="EI10" s="55"/>
      <c r="EJ10" s="55"/>
      <c r="EK10" s="55"/>
      <c r="EL10" s="55"/>
      <c r="EM10" s="55"/>
      <c r="EN10" s="55"/>
      <c r="EO10" s="55"/>
      <c r="EP10" s="55"/>
      <c r="EQ10" s="55"/>
      <c r="ER10" s="55"/>
      <c r="ES10" s="55"/>
      <c r="ET10" s="55"/>
      <c r="EU10" s="55"/>
      <c r="EV10" s="55"/>
      <c r="EW10" s="55"/>
      <c r="EX10" s="55"/>
      <c r="EY10" s="55"/>
      <c r="EZ10" s="55"/>
      <c r="FA10" s="55"/>
      <c r="FB10" s="55"/>
      <c r="FC10" s="55"/>
      <c r="FD10" s="55"/>
      <c r="FE10" s="55"/>
      <c r="FF10" s="55"/>
      <c r="FG10" s="55"/>
      <c r="FH10" s="55"/>
      <c r="FI10" s="55"/>
      <c r="FJ10" s="55"/>
      <c r="FK10" s="55"/>
      <c r="FL10" s="55"/>
      <c r="FM10" s="55"/>
      <c r="FN10" s="55"/>
      <c r="FO10" s="55"/>
      <c r="FP10" s="55"/>
      <c r="FQ10" s="55"/>
      <c r="FR10" s="55"/>
      <c r="FS10" s="55"/>
      <c r="FT10" s="55"/>
      <c r="FU10" s="55"/>
      <c r="FV10" s="55"/>
      <c r="FW10" s="55"/>
      <c r="FX10" s="55"/>
      <c r="FY10" s="55"/>
      <c r="FZ10" s="5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55"/>
      <c r="GM10" s="55"/>
      <c r="GN10" s="55"/>
      <c r="GO10" s="55"/>
      <c r="GP10" s="55"/>
      <c r="GQ10" s="55"/>
      <c r="GR10" s="55"/>
      <c r="GS10" s="55"/>
      <c r="GT10" s="55"/>
      <c r="GU10" s="55"/>
      <c r="GV10" s="55"/>
      <c r="GW10" s="55"/>
      <c r="GX10" s="55"/>
      <c r="GY10" s="55"/>
      <c r="GZ10" s="55"/>
      <c r="HA10" s="55"/>
      <c r="HB10" s="55"/>
      <c r="HC10" s="55"/>
      <c r="HD10" s="55"/>
      <c r="HE10" s="55"/>
      <c r="HF10" s="55"/>
      <c r="HG10" s="55"/>
      <c r="HH10" s="55"/>
      <c r="HI10" s="55"/>
      <c r="HJ10" s="55"/>
      <c r="HK10" s="55"/>
      <c r="HL10" s="55"/>
      <c r="HM10" s="55"/>
      <c r="HN10" s="55"/>
      <c r="HO10" s="55"/>
      <c r="HP10" s="55"/>
      <c r="HQ10" s="55"/>
      <c r="HR10" s="55"/>
      <c r="HS10" s="55"/>
      <c r="HT10" s="55"/>
      <c r="HU10" s="55"/>
      <c r="HV10" s="55"/>
      <c r="HW10" s="55"/>
      <c r="HX10" s="55"/>
      <c r="HY10" s="55"/>
      <c r="HZ10" s="55"/>
      <c r="IA10" s="55"/>
      <c r="IB10" s="55"/>
      <c r="IC10" s="55"/>
      <c r="ID10" s="55"/>
      <c r="IE10" s="55"/>
      <c r="IF10" s="55"/>
      <c r="IG10" s="55"/>
      <c r="IH10" s="55"/>
      <c r="II10" s="55"/>
      <c r="IJ10" s="55"/>
      <c r="IK10" s="55"/>
      <c r="IL10" s="55"/>
      <c r="IM10" s="55"/>
      <c r="IN10" s="55"/>
      <c r="IO10" s="55"/>
      <c r="IP10" s="55"/>
      <c r="IQ10" s="55"/>
      <c r="IR10" s="55"/>
      <c r="IS10" s="55"/>
      <c r="IT10" s="55"/>
      <c r="IU10" s="55"/>
      <c r="IV10" s="55"/>
      <c r="IW10" s="55"/>
      <c r="IX10" s="55"/>
      <c r="IY10" s="55"/>
      <c r="IZ10" s="55"/>
      <c r="JA10" s="55"/>
      <c r="JB10" s="55"/>
      <c r="JC10" s="55"/>
      <c r="JD10" s="55"/>
      <c r="JE10" s="55"/>
      <c r="JF10" s="55"/>
      <c r="JG10" s="55"/>
      <c r="JH10" s="55"/>
      <c r="JI10" s="55"/>
      <c r="JJ10" s="55"/>
      <c r="JK10" s="55"/>
      <c r="JL10" s="55"/>
      <c r="JM10" s="55"/>
      <c r="JN10" s="55"/>
      <c r="JO10" s="55"/>
      <c r="JP10" s="55"/>
      <c r="JQ10" s="55"/>
      <c r="JR10" s="55"/>
      <c r="JS10" s="55"/>
      <c r="JT10" s="55"/>
      <c r="JU10" s="55"/>
      <c r="JV10" s="55"/>
      <c r="JW10" s="55"/>
      <c r="JX10" s="55"/>
      <c r="JY10" s="55"/>
      <c r="JZ10" s="55"/>
      <c r="KA10" s="55"/>
      <c r="KB10" s="55"/>
      <c r="KC10" s="55"/>
      <c r="KD10" s="55"/>
      <c r="KE10" s="55"/>
      <c r="KF10" s="55"/>
      <c r="KG10" s="55"/>
      <c r="KH10" s="55"/>
      <c r="KI10" s="55"/>
      <c r="KJ10" s="55"/>
      <c r="KK10" s="55"/>
      <c r="KL10" s="55"/>
      <c r="KM10" s="55"/>
      <c r="KN10" s="55"/>
      <c r="KO10" s="55"/>
      <c r="KP10" s="55"/>
      <c r="KQ10" s="55"/>
      <c r="KR10" s="55"/>
      <c r="KS10" s="55"/>
      <c r="KT10" s="55"/>
      <c r="KU10" s="55"/>
      <c r="KV10" s="55"/>
      <c r="KW10" s="55"/>
      <c r="KX10" s="55"/>
      <c r="KY10" s="55"/>
      <c r="KZ10" s="55"/>
      <c r="LA10" s="55"/>
      <c r="LB10" s="55"/>
      <c r="LC10" s="55"/>
      <c r="LD10" s="55"/>
      <c r="LE10" s="55"/>
      <c r="LF10" s="55"/>
      <c r="LG10" s="55"/>
      <c r="LH10" s="55"/>
      <c r="LI10" s="55"/>
      <c r="LJ10" s="55"/>
      <c r="LK10" s="55"/>
      <c r="LL10" s="55"/>
      <c r="LM10" s="55"/>
      <c r="LN10" s="55"/>
      <c r="LO10" s="55"/>
      <c r="LP10" s="55"/>
      <c r="LQ10" s="55"/>
      <c r="LR10" s="55"/>
      <c r="LS10" s="55"/>
      <c r="LT10" s="55"/>
      <c r="LU10" s="55"/>
      <c r="LV10" s="55"/>
      <c r="LW10" s="55"/>
      <c r="LX10" s="55"/>
      <c r="LY10" s="55"/>
      <c r="LZ10" s="55"/>
      <c r="MA10" s="55"/>
      <c r="MB10" s="55"/>
      <c r="MC10" s="55"/>
      <c r="MD10" s="55"/>
      <c r="ME10" s="55"/>
      <c r="MF10" s="55"/>
      <c r="MG10" s="55"/>
      <c r="MH10" s="55"/>
      <c r="MI10" s="55"/>
      <c r="MJ10" s="55"/>
      <c r="MK10" s="55"/>
      <c r="ML10" s="55"/>
      <c r="MM10" s="55"/>
      <c r="MN10" s="55"/>
      <c r="MO10" s="55"/>
      <c r="MP10" s="55"/>
      <c r="MQ10" s="55"/>
      <c r="MR10" s="55"/>
      <c r="MS10" s="55"/>
      <c r="MT10" s="55"/>
      <c r="MU10" s="55"/>
      <c r="MV10" s="55"/>
      <c r="MW10" s="55"/>
      <c r="MX10" s="55"/>
      <c r="MY10" s="55"/>
      <c r="MZ10" s="55"/>
      <c r="NA10" s="55"/>
      <c r="NB10" s="55"/>
      <c r="NC10" s="55"/>
      <c r="ND10" s="55"/>
      <c r="NE10" s="55"/>
      <c r="NF10" s="55"/>
      <c r="NG10" s="55"/>
      <c r="NH10" s="55"/>
      <c r="NI10" s="55"/>
      <c r="NJ10" s="14"/>
    </row>
    <row r="11" spans="1:375" x14ac:dyDescent="0.2">
      <c r="A11" s="15">
        <v>1.5</v>
      </c>
      <c r="B11" s="16" t="s">
        <v>32</v>
      </c>
      <c r="C11" s="17">
        <v>42047</v>
      </c>
      <c r="D11" s="17">
        <v>42051</v>
      </c>
      <c r="E11" s="84">
        <v>42048</v>
      </c>
      <c r="F11" s="78">
        <f t="shared" si="7"/>
        <v>4</v>
      </c>
      <c r="G11" s="79">
        <f t="shared" ca="1" si="4"/>
        <v>1</v>
      </c>
      <c r="H11" s="79">
        <f t="shared" ca="1" si="5"/>
        <v>0</v>
      </c>
      <c r="I11" s="80">
        <f t="shared" si="6"/>
        <v>0</v>
      </c>
      <c r="J11" s="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55"/>
      <c r="CX11" s="55"/>
      <c r="CY11" s="55"/>
      <c r="CZ11" s="55"/>
      <c r="DA11" s="55"/>
      <c r="DB11" s="55"/>
      <c r="DC11" s="55"/>
      <c r="DD11" s="55"/>
      <c r="DE11" s="55"/>
      <c r="DF11" s="55"/>
      <c r="DG11" s="55"/>
      <c r="DH11" s="55"/>
      <c r="DI11" s="55"/>
      <c r="DJ11" s="55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55"/>
      <c r="DZ11" s="55"/>
      <c r="EA11" s="55"/>
      <c r="EB11" s="55"/>
      <c r="EC11" s="55"/>
      <c r="ED11" s="55"/>
      <c r="EE11" s="55"/>
      <c r="EF11" s="55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55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55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55"/>
      <c r="IN11" s="55"/>
      <c r="IO11" s="55"/>
      <c r="IP11" s="55"/>
      <c r="IQ11" s="55"/>
      <c r="IR11" s="55"/>
      <c r="IS11" s="55"/>
      <c r="IT11" s="55"/>
      <c r="IU11" s="55"/>
      <c r="IV11" s="55"/>
      <c r="IW11" s="55"/>
      <c r="IX11" s="55"/>
      <c r="IY11" s="55"/>
      <c r="IZ11" s="55"/>
      <c r="JA11" s="55"/>
      <c r="JB11" s="55"/>
      <c r="JC11" s="55"/>
      <c r="JD11" s="55"/>
      <c r="JE11" s="55"/>
      <c r="JF11" s="55"/>
      <c r="JG11" s="55"/>
      <c r="JH11" s="55"/>
      <c r="JI11" s="55"/>
      <c r="JJ11" s="55"/>
      <c r="JK11" s="55"/>
      <c r="JL11" s="55"/>
      <c r="JM11" s="55"/>
      <c r="JN11" s="55"/>
      <c r="JO11" s="55"/>
      <c r="JP11" s="55"/>
      <c r="JQ11" s="55"/>
      <c r="JR11" s="55"/>
      <c r="JS11" s="55"/>
      <c r="JT11" s="55"/>
      <c r="JU11" s="55"/>
      <c r="JV11" s="55"/>
      <c r="JW11" s="55"/>
      <c r="JX11" s="55"/>
      <c r="JY11" s="55"/>
      <c r="JZ11" s="55"/>
      <c r="KA11" s="55"/>
      <c r="KB11" s="55"/>
      <c r="KC11" s="55"/>
      <c r="KD11" s="55"/>
      <c r="KE11" s="55"/>
      <c r="KF11" s="55"/>
      <c r="KG11" s="55"/>
      <c r="KH11" s="55"/>
      <c r="KI11" s="55"/>
      <c r="KJ11" s="55"/>
      <c r="KK11" s="55"/>
      <c r="KL11" s="55"/>
      <c r="KM11" s="55"/>
      <c r="KN11" s="55"/>
      <c r="KO11" s="55"/>
      <c r="KP11" s="55"/>
      <c r="KQ11" s="55"/>
      <c r="KR11" s="55"/>
      <c r="KS11" s="55"/>
      <c r="KT11" s="55"/>
      <c r="KU11" s="55"/>
      <c r="KV11" s="55"/>
      <c r="KW11" s="55"/>
      <c r="KX11" s="55"/>
      <c r="KY11" s="55"/>
      <c r="KZ11" s="55"/>
      <c r="LA11" s="55"/>
      <c r="LB11" s="55"/>
      <c r="LC11" s="55"/>
      <c r="LD11" s="55"/>
      <c r="LE11" s="55"/>
      <c r="LF11" s="55"/>
      <c r="LG11" s="55"/>
      <c r="LH11" s="55"/>
      <c r="LI11" s="55"/>
      <c r="LJ11" s="55"/>
      <c r="LK11" s="55"/>
      <c r="LL11" s="55"/>
      <c r="LM11" s="55"/>
      <c r="LN11" s="55"/>
      <c r="LO11" s="55"/>
      <c r="LP11" s="55"/>
      <c r="LQ11" s="55"/>
      <c r="LR11" s="55"/>
      <c r="LS11" s="55"/>
      <c r="LT11" s="55"/>
      <c r="LU11" s="55"/>
      <c r="LV11" s="55"/>
      <c r="LW11" s="55"/>
      <c r="LX11" s="55"/>
      <c r="LY11" s="55"/>
      <c r="LZ11" s="55"/>
      <c r="MA11" s="55"/>
      <c r="MB11" s="55"/>
      <c r="MC11" s="55"/>
      <c r="MD11" s="55"/>
      <c r="ME11" s="55"/>
      <c r="MF11" s="55"/>
      <c r="MG11" s="55"/>
      <c r="MH11" s="55"/>
      <c r="MI11" s="55"/>
      <c r="MJ11" s="55"/>
      <c r="MK11" s="55"/>
      <c r="ML11" s="55"/>
      <c r="MM11" s="55"/>
      <c r="MN11" s="55"/>
      <c r="MO11" s="55"/>
      <c r="MP11" s="55"/>
      <c r="MQ11" s="55"/>
      <c r="MR11" s="55"/>
      <c r="MS11" s="55"/>
      <c r="MT11" s="55"/>
      <c r="MU11" s="55"/>
      <c r="MV11" s="55"/>
      <c r="MW11" s="55"/>
      <c r="MX11" s="55"/>
      <c r="MY11" s="55"/>
      <c r="MZ11" s="55"/>
      <c r="NA11" s="55"/>
      <c r="NB11" s="55"/>
      <c r="NC11" s="55"/>
      <c r="ND11" s="55"/>
      <c r="NE11" s="55"/>
      <c r="NF11" s="55"/>
      <c r="NG11" s="55"/>
      <c r="NH11" s="55"/>
      <c r="NI11" s="55"/>
      <c r="NJ11" s="14"/>
    </row>
    <row r="12" spans="1:375" x14ac:dyDescent="0.2">
      <c r="A12" s="15">
        <v>2</v>
      </c>
      <c r="B12" s="30" t="s">
        <v>35</v>
      </c>
      <c r="C12" s="17">
        <v>42052</v>
      </c>
      <c r="D12" s="17">
        <v>42080</v>
      </c>
      <c r="E12" s="84"/>
      <c r="F12" s="78">
        <f t="shared" si="7"/>
        <v>28</v>
      </c>
      <c r="G12" s="79">
        <f t="shared" ca="1" si="4"/>
        <v>18</v>
      </c>
      <c r="H12" s="79">
        <f t="shared" ca="1" si="5"/>
        <v>9</v>
      </c>
      <c r="I12" s="80">
        <f t="shared" si="6"/>
        <v>0</v>
      </c>
      <c r="J12" s="8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14"/>
    </row>
    <row r="13" spans="1:375" x14ac:dyDescent="0.2">
      <c r="A13" s="15">
        <v>2.1</v>
      </c>
      <c r="B13" s="16" t="s">
        <v>20</v>
      </c>
      <c r="C13" s="17">
        <v>42052</v>
      </c>
      <c r="D13" s="17">
        <v>42054</v>
      </c>
      <c r="E13" s="84"/>
      <c r="F13" s="78">
        <f t="shared" si="7"/>
        <v>2</v>
      </c>
      <c r="G13" s="79">
        <f t="shared" ca="1" si="4"/>
        <v>18</v>
      </c>
      <c r="H13" s="79">
        <f t="shared" ca="1" si="5"/>
        <v>0</v>
      </c>
      <c r="I13" s="80">
        <f t="shared" si="6"/>
        <v>0</v>
      </c>
      <c r="J13" s="8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14"/>
    </row>
    <row r="14" spans="1:375" x14ac:dyDescent="0.2">
      <c r="A14" s="15">
        <v>2.2000000000000002</v>
      </c>
      <c r="B14" s="16" t="s">
        <v>36</v>
      </c>
      <c r="C14" s="17">
        <v>42052</v>
      </c>
      <c r="D14" s="17">
        <v>42071</v>
      </c>
      <c r="E14" s="84"/>
      <c r="F14" s="78">
        <f t="shared" si="7"/>
        <v>19</v>
      </c>
      <c r="G14" s="79">
        <f t="shared" ca="1" si="4"/>
        <v>18</v>
      </c>
      <c r="H14" s="79">
        <f t="shared" ca="1" si="5"/>
        <v>0</v>
      </c>
      <c r="I14" s="80">
        <f t="shared" si="6"/>
        <v>0</v>
      </c>
      <c r="J14" s="8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14"/>
    </row>
    <row r="15" spans="1:375" x14ac:dyDescent="0.2">
      <c r="A15" s="15">
        <v>2.2999999999999998</v>
      </c>
      <c r="B15" s="16" t="s">
        <v>33</v>
      </c>
      <c r="C15" s="17">
        <v>42072</v>
      </c>
      <c r="D15" s="17">
        <v>42073</v>
      </c>
      <c r="E15" s="84"/>
      <c r="F15" s="78">
        <f t="shared" si="7"/>
        <v>1</v>
      </c>
      <c r="G15" s="79">
        <f t="shared" ca="1" si="4"/>
        <v>0</v>
      </c>
      <c r="H15" s="79">
        <f t="shared" ca="1" si="5"/>
        <v>1</v>
      </c>
      <c r="I15" s="80">
        <f t="shared" si="6"/>
        <v>0</v>
      </c>
      <c r="J15" s="8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14"/>
    </row>
    <row r="16" spans="1:375" x14ac:dyDescent="0.2">
      <c r="A16" s="15">
        <v>2.4</v>
      </c>
      <c r="B16" s="16" t="s">
        <v>31</v>
      </c>
      <c r="C16" s="17">
        <v>42072</v>
      </c>
      <c r="D16" s="17">
        <v>42073</v>
      </c>
      <c r="E16" s="84"/>
      <c r="F16" s="78">
        <f t="shared" si="7"/>
        <v>1</v>
      </c>
      <c r="G16" s="79">
        <f t="shared" ca="1" si="4"/>
        <v>0</v>
      </c>
      <c r="H16" s="79">
        <f t="shared" ca="1" si="5"/>
        <v>1</v>
      </c>
      <c r="I16" s="80">
        <f t="shared" si="6"/>
        <v>0</v>
      </c>
      <c r="J16" s="8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14"/>
    </row>
    <row r="17" spans="1:374" x14ac:dyDescent="0.2">
      <c r="A17" s="15">
        <v>3</v>
      </c>
      <c r="B17" s="30" t="s">
        <v>37</v>
      </c>
      <c r="C17" s="17">
        <v>42081</v>
      </c>
      <c r="D17" s="17">
        <v>42093</v>
      </c>
      <c r="E17" s="84"/>
      <c r="F17" s="78">
        <f t="shared" si="7"/>
        <v>12</v>
      </c>
      <c r="G17" s="79">
        <f t="shared" ca="1" si="4"/>
        <v>0</v>
      </c>
      <c r="H17" s="79">
        <f t="shared" ca="1" si="5"/>
        <v>12</v>
      </c>
      <c r="I17" s="80">
        <f t="shared" si="6"/>
        <v>0</v>
      </c>
      <c r="J17" s="8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14"/>
    </row>
    <row r="18" spans="1:374" x14ac:dyDescent="0.2">
      <c r="A18" s="15">
        <v>3.1</v>
      </c>
      <c r="B18" s="16" t="s">
        <v>21</v>
      </c>
      <c r="C18" s="17">
        <v>42081</v>
      </c>
      <c r="D18" s="17">
        <v>42093</v>
      </c>
      <c r="E18" s="84"/>
      <c r="F18" s="78">
        <f t="shared" si="7"/>
        <v>12</v>
      </c>
      <c r="G18" s="79">
        <f t="shared" ca="1" si="4"/>
        <v>0</v>
      </c>
      <c r="H18" s="79">
        <f t="shared" ca="1" si="5"/>
        <v>12</v>
      </c>
      <c r="I18" s="81">
        <f t="shared" si="6"/>
        <v>0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14"/>
    </row>
    <row r="19" spans="1:374" x14ac:dyDescent="0.2">
      <c r="A19" s="15">
        <v>3.2</v>
      </c>
      <c r="B19" s="16" t="s">
        <v>22</v>
      </c>
      <c r="C19" s="17">
        <v>42081</v>
      </c>
      <c r="D19" s="17">
        <v>42084</v>
      </c>
      <c r="E19" s="85"/>
      <c r="F19" s="72">
        <f t="shared" si="7"/>
        <v>3</v>
      </c>
      <c r="G19" s="77">
        <f t="shared" ca="1" si="4"/>
        <v>0</v>
      </c>
      <c r="H19" s="77">
        <f t="shared" ca="1" si="5"/>
        <v>3</v>
      </c>
      <c r="I19" s="82">
        <f t="shared" si="6"/>
        <v>0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14"/>
    </row>
    <row r="20" spans="1:374" x14ac:dyDescent="0.2">
      <c r="A20" s="15">
        <v>3.3</v>
      </c>
      <c r="B20" s="16" t="s">
        <v>23</v>
      </c>
      <c r="C20" s="17">
        <v>42085</v>
      </c>
      <c r="D20" s="17">
        <v>42088</v>
      </c>
      <c r="E20" s="86"/>
      <c r="F20" s="72">
        <f t="shared" si="7"/>
        <v>3</v>
      </c>
      <c r="G20" s="77">
        <f t="shared" ca="1" si="4"/>
        <v>0</v>
      </c>
      <c r="H20" s="77">
        <f t="shared" ca="1" si="5"/>
        <v>3</v>
      </c>
      <c r="I20" s="82">
        <f t="shared" si="6"/>
        <v>0</v>
      </c>
      <c r="J20" s="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14"/>
    </row>
    <row r="21" spans="1:374" x14ac:dyDescent="0.2">
      <c r="A21" s="15">
        <v>3.4</v>
      </c>
      <c r="B21" s="16" t="s">
        <v>24</v>
      </c>
      <c r="C21" s="17">
        <v>42089</v>
      </c>
      <c r="D21" s="17">
        <v>42092</v>
      </c>
      <c r="E21" s="84"/>
      <c r="F21" s="78">
        <f t="shared" si="7"/>
        <v>3</v>
      </c>
      <c r="G21" s="77">
        <f t="shared" ca="1" si="4"/>
        <v>0</v>
      </c>
      <c r="H21" s="77">
        <f t="shared" ca="1" si="5"/>
        <v>3</v>
      </c>
      <c r="I21" s="82">
        <f t="shared" si="6"/>
        <v>0</v>
      </c>
      <c r="J21" s="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14"/>
    </row>
    <row r="22" spans="1:374" x14ac:dyDescent="0.2">
      <c r="A22" s="15">
        <v>3.5</v>
      </c>
      <c r="B22" s="16" t="s">
        <v>39</v>
      </c>
      <c r="C22" s="17">
        <v>42092</v>
      </c>
      <c r="D22" s="17">
        <v>42093</v>
      </c>
      <c r="E22" s="17"/>
      <c r="F22" s="78">
        <f t="shared" si="7"/>
        <v>1</v>
      </c>
      <c r="G22" s="77">
        <f t="shared" ca="1" si="4"/>
        <v>0</v>
      </c>
      <c r="H22" s="77">
        <f t="shared" ca="1" si="5"/>
        <v>1</v>
      </c>
      <c r="I22" s="82">
        <f t="shared" si="6"/>
        <v>0</v>
      </c>
      <c r="J22" s="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14"/>
    </row>
    <row r="23" spans="1:374" x14ac:dyDescent="0.2">
      <c r="A23" s="15"/>
      <c r="B23" s="16"/>
      <c r="C23" s="17"/>
      <c r="D23" s="17"/>
      <c r="E23" s="17"/>
      <c r="F23" s="66" t="str">
        <f t="shared" si="7"/>
        <v/>
      </c>
      <c r="G23" s="67" t="str">
        <f t="shared" si="4"/>
        <v/>
      </c>
      <c r="H23" s="67" t="str">
        <f t="shared" si="5"/>
        <v/>
      </c>
      <c r="I23" s="64" t="str">
        <f t="shared" si="6"/>
        <v/>
      </c>
      <c r="J23" s="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14"/>
    </row>
    <row r="24" spans="1:374" x14ac:dyDescent="0.2">
      <c r="A24" s="15"/>
      <c r="B24" s="16"/>
      <c r="C24" s="17"/>
      <c r="D24" s="17"/>
      <c r="E24" s="17"/>
      <c r="F24" s="66" t="str">
        <f t="shared" si="7"/>
        <v/>
      </c>
      <c r="G24" s="67" t="str">
        <f t="shared" si="4"/>
        <v/>
      </c>
      <c r="H24" s="67" t="str">
        <f t="shared" si="5"/>
        <v/>
      </c>
      <c r="I24" s="7" t="str">
        <f t="shared" si="6"/>
        <v/>
      </c>
      <c r="J24" s="8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14"/>
    </row>
    <row r="25" spans="1:374" x14ac:dyDescent="0.2">
      <c r="A25" s="15"/>
      <c r="B25" s="16"/>
      <c r="C25" s="17"/>
      <c r="D25" s="17"/>
      <c r="E25" s="17"/>
      <c r="F25" s="66" t="str">
        <f t="shared" si="7"/>
        <v/>
      </c>
      <c r="G25" s="67" t="str">
        <f t="shared" si="4"/>
        <v/>
      </c>
      <c r="H25" s="67" t="str">
        <f t="shared" si="5"/>
        <v/>
      </c>
      <c r="I25" s="7" t="str">
        <f t="shared" si="6"/>
        <v/>
      </c>
      <c r="J25" s="8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14"/>
    </row>
    <row r="26" spans="1:374" x14ac:dyDescent="0.2">
      <c r="A26" s="15"/>
      <c r="B26" s="16"/>
      <c r="C26" s="17"/>
      <c r="D26" s="17"/>
      <c r="E26" s="17"/>
      <c r="F26" s="66" t="str">
        <f t="shared" si="7"/>
        <v/>
      </c>
      <c r="G26" s="67" t="str">
        <f t="shared" si="4"/>
        <v/>
      </c>
      <c r="H26" s="67" t="str">
        <f t="shared" si="5"/>
        <v/>
      </c>
      <c r="I26" s="7" t="str">
        <f t="shared" si="6"/>
        <v/>
      </c>
      <c r="J26" s="8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14"/>
    </row>
    <row r="27" spans="1:374" x14ac:dyDescent="0.2">
      <c r="A27" s="15"/>
      <c r="B27" s="16"/>
      <c r="C27" s="17"/>
      <c r="D27" s="17"/>
      <c r="E27" s="17"/>
      <c r="F27" s="66" t="str">
        <f t="shared" si="7"/>
        <v/>
      </c>
      <c r="G27" s="67" t="str">
        <f t="shared" si="4"/>
        <v/>
      </c>
      <c r="H27" s="67" t="str">
        <f t="shared" si="5"/>
        <v/>
      </c>
      <c r="I27" s="7" t="str">
        <f t="shared" si="6"/>
        <v/>
      </c>
      <c r="J27" s="8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14"/>
    </row>
    <row r="28" spans="1:374" x14ac:dyDescent="0.2">
      <c r="A28" s="15"/>
      <c r="B28" s="16"/>
      <c r="C28" s="17"/>
      <c r="D28" s="17"/>
      <c r="E28" s="17"/>
      <c r="F28" s="66" t="str">
        <f t="shared" si="7"/>
        <v/>
      </c>
      <c r="G28" s="67" t="str">
        <f t="shared" si="4"/>
        <v/>
      </c>
      <c r="H28" s="67" t="str">
        <f t="shared" si="5"/>
        <v/>
      </c>
      <c r="I28" s="7" t="str">
        <f t="shared" si="6"/>
        <v/>
      </c>
      <c r="J28" s="8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14"/>
    </row>
    <row r="29" spans="1:374" x14ac:dyDescent="0.2">
      <c r="A29" s="15"/>
      <c r="B29" s="16"/>
      <c r="C29" s="17"/>
      <c r="D29" s="17"/>
      <c r="E29" s="17"/>
      <c r="F29" s="66" t="str">
        <f t="shared" si="7"/>
        <v/>
      </c>
      <c r="G29" s="67" t="str">
        <f t="shared" si="4"/>
        <v/>
      </c>
      <c r="H29" s="67" t="str">
        <f t="shared" si="5"/>
        <v/>
      </c>
      <c r="I29" s="7" t="str">
        <f t="shared" si="6"/>
        <v/>
      </c>
      <c r="J29" s="8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14"/>
    </row>
    <row r="30" spans="1:374" x14ac:dyDescent="0.2">
      <c r="A30" s="15"/>
      <c r="B30" s="16"/>
      <c r="C30" s="17"/>
      <c r="D30" s="17"/>
      <c r="E30" s="17"/>
      <c r="F30" s="66" t="str">
        <f t="shared" si="7"/>
        <v/>
      </c>
      <c r="G30" s="67" t="str">
        <f t="shared" si="4"/>
        <v/>
      </c>
      <c r="H30" s="67" t="str">
        <f t="shared" si="5"/>
        <v/>
      </c>
      <c r="I30" s="7" t="str">
        <f t="shared" si="6"/>
        <v/>
      </c>
      <c r="J30" s="8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14"/>
    </row>
    <row r="31" spans="1:374" x14ac:dyDescent="0.2">
      <c r="A31" s="15"/>
      <c r="B31" s="16"/>
      <c r="C31" s="17"/>
      <c r="D31" s="17"/>
      <c r="E31" s="17"/>
      <c r="F31" s="66" t="str">
        <f t="shared" si="7"/>
        <v/>
      </c>
      <c r="G31" s="67" t="str">
        <f t="shared" si="4"/>
        <v/>
      </c>
      <c r="H31" s="67" t="str">
        <f t="shared" si="5"/>
        <v/>
      </c>
      <c r="I31" s="7" t="str">
        <f t="shared" si="6"/>
        <v/>
      </c>
      <c r="J31" s="8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5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14"/>
    </row>
    <row r="32" spans="1:374" x14ac:dyDescent="0.2">
      <c r="A32" s="15"/>
      <c r="B32" s="16"/>
      <c r="C32" s="17"/>
      <c r="D32" s="17"/>
      <c r="E32" s="17"/>
      <c r="F32" s="66" t="str">
        <f t="shared" si="7"/>
        <v/>
      </c>
      <c r="G32" s="67" t="str">
        <f t="shared" si="4"/>
        <v/>
      </c>
      <c r="H32" s="67" t="str">
        <f t="shared" si="5"/>
        <v/>
      </c>
      <c r="I32" s="7" t="str">
        <f t="shared" si="6"/>
        <v/>
      </c>
      <c r="J32" s="8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5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14"/>
    </row>
    <row r="33" spans="1:374" x14ac:dyDescent="0.2">
      <c r="A33" s="15"/>
      <c r="B33" s="16"/>
      <c r="C33" s="17"/>
      <c r="D33" s="17"/>
      <c r="E33" s="17"/>
      <c r="F33" s="66" t="str">
        <f t="shared" si="7"/>
        <v/>
      </c>
      <c r="G33" s="67" t="str">
        <f t="shared" si="4"/>
        <v/>
      </c>
      <c r="H33" s="67" t="str">
        <f t="shared" si="5"/>
        <v/>
      </c>
      <c r="I33" s="7" t="str">
        <f t="shared" si="6"/>
        <v/>
      </c>
      <c r="J33" s="8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55"/>
      <c r="CU33" s="55"/>
      <c r="CV33" s="55"/>
      <c r="CW33" s="55"/>
      <c r="CX33" s="55"/>
      <c r="CY33" s="55"/>
      <c r="CZ33" s="55"/>
      <c r="DA33" s="55"/>
      <c r="DB33" s="55"/>
      <c r="DC33" s="55"/>
      <c r="DD33" s="55"/>
      <c r="DE33" s="55"/>
      <c r="DF33" s="55"/>
      <c r="DG33" s="55"/>
      <c r="DH33" s="55"/>
      <c r="DI33" s="55"/>
      <c r="DJ33" s="55"/>
      <c r="DK33" s="55"/>
      <c r="DL33" s="55"/>
      <c r="DM33" s="55"/>
      <c r="DN33" s="55"/>
      <c r="DO33" s="55"/>
      <c r="DP33" s="55"/>
      <c r="DQ33" s="55"/>
      <c r="DR33" s="55"/>
      <c r="DS33" s="55"/>
      <c r="DT33" s="55"/>
      <c r="DU33" s="55"/>
      <c r="DV33" s="55"/>
      <c r="DW33" s="55"/>
      <c r="DX33" s="55"/>
      <c r="DY33" s="55"/>
      <c r="DZ33" s="55"/>
      <c r="EA33" s="55"/>
      <c r="EB33" s="55"/>
      <c r="EC33" s="55"/>
      <c r="ED33" s="55"/>
      <c r="EE33" s="55"/>
      <c r="EF33" s="55"/>
      <c r="EG33" s="55"/>
      <c r="EH33" s="55"/>
      <c r="EI33" s="55"/>
      <c r="EJ33" s="55"/>
      <c r="EK33" s="55"/>
      <c r="EL33" s="55"/>
      <c r="EM33" s="55"/>
      <c r="EN33" s="55"/>
      <c r="EO33" s="55"/>
      <c r="EP33" s="55"/>
      <c r="EQ33" s="55"/>
      <c r="ER33" s="55"/>
      <c r="ES33" s="55"/>
      <c r="ET33" s="55"/>
      <c r="EU33" s="55"/>
      <c r="EV33" s="55"/>
      <c r="EW33" s="55"/>
      <c r="EX33" s="55"/>
      <c r="EY33" s="55"/>
      <c r="EZ33" s="55"/>
      <c r="FA33" s="55"/>
      <c r="FB33" s="55"/>
      <c r="FC33" s="55"/>
      <c r="FD33" s="55"/>
      <c r="FE33" s="55"/>
      <c r="FF33" s="55"/>
      <c r="FG33" s="55"/>
      <c r="FH33" s="55"/>
      <c r="FI33" s="55"/>
      <c r="FJ33" s="55"/>
      <c r="FK33" s="55"/>
      <c r="FL33" s="55"/>
      <c r="FM33" s="55"/>
      <c r="FN33" s="55"/>
      <c r="FO33" s="55"/>
      <c r="FP33" s="55"/>
      <c r="FQ33" s="55"/>
      <c r="FR33" s="55"/>
      <c r="FS33" s="55"/>
      <c r="FT33" s="55"/>
      <c r="FU33" s="55"/>
      <c r="FV33" s="55"/>
      <c r="FW33" s="55"/>
      <c r="FX33" s="55"/>
      <c r="FY33" s="55"/>
      <c r="FZ33" s="55"/>
      <c r="GA33" s="55"/>
      <c r="GB33" s="55"/>
      <c r="GC33" s="55"/>
      <c r="GD33" s="55"/>
      <c r="GE33" s="55"/>
      <c r="GF33" s="55"/>
      <c r="GG33" s="55"/>
      <c r="GH33" s="55"/>
      <c r="GI33" s="55"/>
      <c r="GJ33" s="55"/>
      <c r="GK33" s="55"/>
      <c r="GL33" s="55"/>
      <c r="GM33" s="55"/>
      <c r="GN33" s="55"/>
      <c r="GO33" s="55"/>
      <c r="GP33" s="55"/>
      <c r="GQ33" s="55"/>
      <c r="GR33" s="55"/>
      <c r="GS33" s="55"/>
      <c r="GT33" s="55"/>
      <c r="GU33" s="55"/>
      <c r="GV33" s="55"/>
      <c r="GW33" s="55"/>
      <c r="GX33" s="55"/>
      <c r="GY33" s="55"/>
      <c r="GZ33" s="55"/>
      <c r="HA33" s="55"/>
      <c r="HB33" s="55"/>
      <c r="HC33" s="55"/>
      <c r="HD33" s="55"/>
      <c r="HE33" s="55"/>
      <c r="HF33" s="55"/>
      <c r="HG33" s="55"/>
      <c r="HH33" s="55"/>
      <c r="HI33" s="55"/>
      <c r="HJ33" s="55"/>
      <c r="HK33" s="55"/>
      <c r="HL33" s="55"/>
      <c r="HM33" s="55"/>
      <c r="HN33" s="55"/>
      <c r="HO33" s="55"/>
      <c r="HP33" s="55"/>
      <c r="HQ33" s="55"/>
      <c r="HR33" s="55"/>
      <c r="HS33" s="55"/>
      <c r="HT33" s="55"/>
      <c r="HU33" s="55"/>
      <c r="HV33" s="55"/>
      <c r="HW33" s="55"/>
      <c r="HX33" s="55"/>
      <c r="HY33" s="55"/>
      <c r="HZ33" s="55"/>
      <c r="IA33" s="55"/>
      <c r="IB33" s="55"/>
      <c r="IC33" s="55"/>
      <c r="ID33" s="55"/>
      <c r="IE33" s="55"/>
      <c r="IF33" s="55"/>
      <c r="IG33" s="55"/>
      <c r="IH33" s="55"/>
      <c r="II33" s="55"/>
      <c r="IJ33" s="55"/>
      <c r="IK33" s="55"/>
      <c r="IL33" s="55"/>
      <c r="IM33" s="55"/>
      <c r="IN33" s="55"/>
      <c r="IO33" s="55"/>
      <c r="IP33" s="55"/>
      <c r="IQ33" s="55"/>
      <c r="IR33" s="55"/>
      <c r="IS33" s="55"/>
      <c r="IT33" s="55"/>
      <c r="IU33" s="55"/>
      <c r="IV33" s="55"/>
      <c r="IW33" s="55"/>
      <c r="IX33" s="55"/>
      <c r="IY33" s="55"/>
      <c r="IZ33" s="55"/>
      <c r="JA33" s="55"/>
      <c r="JB33" s="55"/>
      <c r="JC33" s="55"/>
      <c r="JD33" s="55"/>
      <c r="JE33" s="55"/>
      <c r="JF33" s="55"/>
      <c r="JG33" s="55"/>
      <c r="JH33" s="55"/>
      <c r="JI33" s="55"/>
      <c r="JJ33" s="55"/>
      <c r="JK33" s="55"/>
      <c r="JL33" s="55"/>
      <c r="JM33" s="55"/>
      <c r="JN33" s="55"/>
      <c r="JO33" s="55"/>
      <c r="JP33" s="55"/>
      <c r="JQ33" s="55"/>
      <c r="JR33" s="55"/>
      <c r="JS33" s="55"/>
      <c r="JT33" s="55"/>
      <c r="JU33" s="55"/>
      <c r="JV33" s="55"/>
      <c r="JW33" s="55"/>
      <c r="JX33" s="55"/>
      <c r="JY33" s="55"/>
      <c r="JZ33" s="55"/>
      <c r="KA33" s="55"/>
      <c r="KB33" s="55"/>
      <c r="KC33" s="55"/>
      <c r="KD33" s="55"/>
      <c r="KE33" s="55"/>
      <c r="KF33" s="55"/>
      <c r="KG33" s="55"/>
      <c r="KH33" s="55"/>
      <c r="KI33" s="55"/>
      <c r="KJ33" s="55"/>
      <c r="KK33" s="55"/>
      <c r="KL33" s="55"/>
      <c r="KM33" s="55"/>
      <c r="KN33" s="55"/>
      <c r="KO33" s="55"/>
      <c r="KP33" s="55"/>
      <c r="KQ33" s="55"/>
      <c r="KR33" s="55"/>
      <c r="KS33" s="55"/>
      <c r="KT33" s="55"/>
      <c r="KU33" s="55"/>
      <c r="KV33" s="55"/>
      <c r="KW33" s="55"/>
      <c r="KX33" s="55"/>
      <c r="KY33" s="55"/>
      <c r="KZ33" s="55"/>
      <c r="LA33" s="55"/>
      <c r="LB33" s="55"/>
      <c r="LC33" s="55"/>
      <c r="LD33" s="55"/>
      <c r="LE33" s="55"/>
      <c r="LF33" s="55"/>
      <c r="LG33" s="55"/>
      <c r="LH33" s="55"/>
      <c r="LI33" s="55"/>
      <c r="LJ33" s="55"/>
      <c r="LK33" s="55"/>
      <c r="LL33" s="55"/>
      <c r="LM33" s="55"/>
      <c r="LN33" s="55"/>
      <c r="LO33" s="55"/>
      <c r="LP33" s="55"/>
      <c r="LQ33" s="55"/>
      <c r="LR33" s="55"/>
      <c r="LS33" s="55"/>
      <c r="LT33" s="55"/>
      <c r="LU33" s="55"/>
      <c r="LV33" s="55"/>
      <c r="LW33" s="55"/>
      <c r="LX33" s="55"/>
      <c r="LY33" s="55"/>
      <c r="LZ33" s="55"/>
      <c r="MA33" s="55"/>
      <c r="MB33" s="55"/>
      <c r="MC33" s="55"/>
      <c r="MD33" s="55"/>
      <c r="ME33" s="55"/>
      <c r="MF33" s="55"/>
      <c r="MG33" s="55"/>
      <c r="MH33" s="55"/>
      <c r="MI33" s="55"/>
      <c r="MJ33" s="55"/>
      <c r="MK33" s="55"/>
      <c r="ML33" s="55"/>
      <c r="MM33" s="55"/>
      <c r="MN33" s="55"/>
      <c r="MO33" s="55"/>
      <c r="MP33" s="55"/>
      <c r="MQ33" s="55"/>
      <c r="MR33" s="55"/>
      <c r="MS33" s="55"/>
      <c r="MT33" s="55"/>
      <c r="MU33" s="55"/>
      <c r="MV33" s="55"/>
      <c r="MW33" s="55"/>
      <c r="MX33" s="55"/>
      <c r="MY33" s="55"/>
      <c r="MZ33" s="55"/>
      <c r="NA33" s="55"/>
      <c r="NB33" s="55"/>
      <c r="NC33" s="55"/>
      <c r="ND33" s="55"/>
      <c r="NE33" s="55"/>
      <c r="NF33" s="55"/>
      <c r="NG33" s="55"/>
      <c r="NH33" s="55"/>
      <c r="NI33" s="55"/>
      <c r="NJ33" s="14"/>
    </row>
    <row r="34" spans="1:374" x14ac:dyDescent="0.2">
      <c r="A34" s="15"/>
      <c r="B34" s="16"/>
      <c r="C34" s="17"/>
      <c r="D34" s="17"/>
      <c r="E34" s="17"/>
      <c r="F34" s="66" t="str">
        <f t="shared" si="7"/>
        <v/>
      </c>
      <c r="G34" s="67" t="str">
        <f t="shared" si="4"/>
        <v/>
      </c>
      <c r="H34" s="67" t="str">
        <f t="shared" si="5"/>
        <v/>
      </c>
      <c r="I34" s="7" t="str">
        <f t="shared" si="6"/>
        <v/>
      </c>
      <c r="J34" s="8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5"/>
      <c r="CW34" s="55"/>
      <c r="CX34" s="55"/>
      <c r="CY34" s="55"/>
      <c r="CZ34" s="55"/>
      <c r="DA34" s="55"/>
      <c r="DB34" s="55"/>
      <c r="DC34" s="55"/>
      <c r="DD34" s="55"/>
      <c r="DE34" s="55"/>
      <c r="DF34" s="55"/>
      <c r="DG34" s="55"/>
      <c r="DH34" s="55"/>
      <c r="DI34" s="55"/>
      <c r="DJ34" s="55"/>
      <c r="DK34" s="55"/>
      <c r="DL34" s="55"/>
      <c r="DM34" s="55"/>
      <c r="DN34" s="55"/>
      <c r="DO34" s="55"/>
      <c r="DP34" s="55"/>
      <c r="DQ34" s="55"/>
      <c r="DR34" s="55"/>
      <c r="DS34" s="55"/>
      <c r="DT34" s="55"/>
      <c r="DU34" s="55"/>
      <c r="DV34" s="55"/>
      <c r="DW34" s="55"/>
      <c r="DX34" s="55"/>
      <c r="DY34" s="55"/>
      <c r="DZ34" s="55"/>
      <c r="EA34" s="55"/>
      <c r="EB34" s="55"/>
      <c r="EC34" s="55"/>
      <c r="ED34" s="55"/>
      <c r="EE34" s="55"/>
      <c r="EF34" s="55"/>
      <c r="EG34" s="55"/>
      <c r="EH34" s="55"/>
      <c r="EI34" s="55"/>
      <c r="EJ34" s="55"/>
      <c r="EK34" s="55"/>
      <c r="EL34" s="55"/>
      <c r="EM34" s="55"/>
      <c r="EN34" s="55"/>
      <c r="EO34" s="55"/>
      <c r="EP34" s="55"/>
      <c r="EQ34" s="55"/>
      <c r="ER34" s="55"/>
      <c r="ES34" s="55"/>
      <c r="ET34" s="55"/>
      <c r="EU34" s="55"/>
      <c r="EV34" s="55"/>
      <c r="EW34" s="55"/>
      <c r="EX34" s="55"/>
      <c r="EY34" s="55"/>
      <c r="EZ34" s="55"/>
      <c r="FA34" s="55"/>
      <c r="FB34" s="55"/>
      <c r="FC34" s="55"/>
      <c r="FD34" s="55"/>
      <c r="FE34" s="55"/>
      <c r="FF34" s="55"/>
      <c r="FG34" s="55"/>
      <c r="FH34" s="55"/>
      <c r="FI34" s="55"/>
      <c r="FJ34" s="55"/>
      <c r="FK34" s="55"/>
      <c r="FL34" s="55"/>
      <c r="FM34" s="55"/>
      <c r="FN34" s="55"/>
      <c r="FO34" s="55"/>
      <c r="FP34" s="55"/>
      <c r="FQ34" s="55"/>
      <c r="FR34" s="55"/>
      <c r="FS34" s="55"/>
      <c r="FT34" s="55"/>
      <c r="FU34" s="55"/>
      <c r="FV34" s="55"/>
      <c r="FW34" s="55"/>
      <c r="FX34" s="55"/>
      <c r="FY34" s="55"/>
      <c r="FZ34" s="55"/>
      <c r="GA34" s="55"/>
      <c r="GB34" s="55"/>
      <c r="GC34" s="55"/>
      <c r="GD34" s="55"/>
      <c r="GE34" s="55"/>
      <c r="GF34" s="55"/>
      <c r="GG34" s="55"/>
      <c r="GH34" s="55"/>
      <c r="GI34" s="55"/>
      <c r="GJ34" s="55"/>
      <c r="GK34" s="55"/>
      <c r="GL34" s="55"/>
      <c r="GM34" s="55"/>
      <c r="GN34" s="55"/>
      <c r="GO34" s="55"/>
      <c r="GP34" s="55"/>
      <c r="GQ34" s="55"/>
      <c r="GR34" s="55"/>
      <c r="GS34" s="55"/>
      <c r="GT34" s="55"/>
      <c r="GU34" s="55"/>
      <c r="GV34" s="55"/>
      <c r="GW34" s="55"/>
      <c r="GX34" s="55"/>
      <c r="GY34" s="55"/>
      <c r="GZ34" s="55"/>
      <c r="HA34" s="55"/>
      <c r="HB34" s="55"/>
      <c r="HC34" s="55"/>
      <c r="HD34" s="55"/>
      <c r="HE34" s="55"/>
      <c r="HF34" s="55"/>
      <c r="HG34" s="55"/>
      <c r="HH34" s="55"/>
      <c r="HI34" s="55"/>
      <c r="HJ34" s="55"/>
      <c r="HK34" s="55"/>
      <c r="HL34" s="55"/>
      <c r="HM34" s="55"/>
      <c r="HN34" s="55"/>
      <c r="HO34" s="55"/>
      <c r="HP34" s="55"/>
      <c r="HQ34" s="55"/>
      <c r="HR34" s="55"/>
      <c r="HS34" s="55"/>
      <c r="HT34" s="55"/>
      <c r="HU34" s="55"/>
      <c r="HV34" s="55"/>
      <c r="HW34" s="55"/>
      <c r="HX34" s="55"/>
      <c r="HY34" s="55"/>
      <c r="HZ34" s="55"/>
      <c r="IA34" s="55"/>
      <c r="IB34" s="55"/>
      <c r="IC34" s="55"/>
      <c r="ID34" s="55"/>
      <c r="IE34" s="55"/>
      <c r="IF34" s="55"/>
      <c r="IG34" s="55"/>
      <c r="IH34" s="55"/>
      <c r="II34" s="55"/>
      <c r="IJ34" s="55"/>
      <c r="IK34" s="55"/>
      <c r="IL34" s="55"/>
      <c r="IM34" s="55"/>
      <c r="IN34" s="55"/>
      <c r="IO34" s="55"/>
      <c r="IP34" s="55"/>
      <c r="IQ34" s="55"/>
      <c r="IR34" s="55"/>
      <c r="IS34" s="55"/>
      <c r="IT34" s="55"/>
      <c r="IU34" s="55"/>
      <c r="IV34" s="55"/>
      <c r="IW34" s="55"/>
      <c r="IX34" s="55"/>
      <c r="IY34" s="55"/>
      <c r="IZ34" s="55"/>
      <c r="JA34" s="55"/>
      <c r="JB34" s="55"/>
      <c r="JC34" s="55"/>
      <c r="JD34" s="55"/>
      <c r="JE34" s="55"/>
      <c r="JF34" s="55"/>
      <c r="JG34" s="55"/>
      <c r="JH34" s="55"/>
      <c r="JI34" s="55"/>
      <c r="JJ34" s="55"/>
      <c r="JK34" s="55"/>
      <c r="JL34" s="55"/>
      <c r="JM34" s="55"/>
      <c r="JN34" s="55"/>
      <c r="JO34" s="55"/>
      <c r="JP34" s="55"/>
      <c r="JQ34" s="55"/>
      <c r="JR34" s="55"/>
      <c r="JS34" s="55"/>
      <c r="JT34" s="55"/>
      <c r="JU34" s="55"/>
      <c r="JV34" s="55"/>
      <c r="JW34" s="55"/>
      <c r="JX34" s="55"/>
      <c r="JY34" s="55"/>
      <c r="JZ34" s="55"/>
      <c r="KA34" s="55"/>
      <c r="KB34" s="55"/>
      <c r="KC34" s="55"/>
      <c r="KD34" s="55"/>
      <c r="KE34" s="55"/>
      <c r="KF34" s="55"/>
      <c r="KG34" s="55"/>
      <c r="KH34" s="55"/>
      <c r="KI34" s="55"/>
      <c r="KJ34" s="55"/>
      <c r="KK34" s="55"/>
      <c r="KL34" s="55"/>
      <c r="KM34" s="55"/>
      <c r="KN34" s="55"/>
      <c r="KO34" s="55"/>
      <c r="KP34" s="55"/>
      <c r="KQ34" s="55"/>
      <c r="KR34" s="55"/>
      <c r="KS34" s="55"/>
      <c r="KT34" s="55"/>
      <c r="KU34" s="55"/>
      <c r="KV34" s="55"/>
      <c r="KW34" s="55"/>
      <c r="KX34" s="55"/>
      <c r="KY34" s="55"/>
      <c r="KZ34" s="55"/>
      <c r="LA34" s="55"/>
      <c r="LB34" s="55"/>
      <c r="LC34" s="55"/>
      <c r="LD34" s="55"/>
      <c r="LE34" s="55"/>
      <c r="LF34" s="55"/>
      <c r="LG34" s="55"/>
      <c r="LH34" s="55"/>
      <c r="LI34" s="55"/>
      <c r="LJ34" s="55"/>
      <c r="LK34" s="55"/>
      <c r="LL34" s="55"/>
      <c r="LM34" s="55"/>
      <c r="LN34" s="55"/>
      <c r="LO34" s="55"/>
      <c r="LP34" s="55"/>
      <c r="LQ34" s="55"/>
      <c r="LR34" s="55"/>
      <c r="LS34" s="55"/>
      <c r="LT34" s="55"/>
      <c r="LU34" s="55"/>
      <c r="LV34" s="55"/>
      <c r="LW34" s="55"/>
      <c r="LX34" s="55"/>
      <c r="LY34" s="55"/>
      <c r="LZ34" s="55"/>
      <c r="MA34" s="55"/>
      <c r="MB34" s="55"/>
      <c r="MC34" s="55"/>
      <c r="MD34" s="55"/>
      <c r="ME34" s="55"/>
      <c r="MF34" s="55"/>
      <c r="MG34" s="55"/>
      <c r="MH34" s="55"/>
      <c r="MI34" s="55"/>
      <c r="MJ34" s="55"/>
      <c r="MK34" s="55"/>
      <c r="ML34" s="55"/>
      <c r="MM34" s="55"/>
      <c r="MN34" s="55"/>
      <c r="MO34" s="55"/>
      <c r="MP34" s="55"/>
      <c r="MQ34" s="55"/>
      <c r="MR34" s="55"/>
      <c r="MS34" s="55"/>
      <c r="MT34" s="55"/>
      <c r="MU34" s="55"/>
      <c r="MV34" s="55"/>
      <c r="MW34" s="55"/>
      <c r="MX34" s="55"/>
      <c r="MY34" s="55"/>
      <c r="MZ34" s="55"/>
      <c r="NA34" s="55"/>
      <c r="NB34" s="55"/>
      <c r="NC34" s="55"/>
      <c r="ND34" s="55"/>
      <c r="NE34" s="55"/>
      <c r="NF34" s="55"/>
      <c r="NG34" s="55"/>
      <c r="NH34" s="55"/>
      <c r="NI34" s="55"/>
      <c r="NJ34" s="14"/>
    </row>
    <row r="35" spans="1:374" x14ac:dyDescent="0.2">
      <c r="A35" s="15"/>
      <c r="B35" s="16"/>
      <c r="C35" s="17"/>
      <c r="D35" s="17"/>
      <c r="E35" s="17"/>
      <c r="F35" s="66" t="str">
        <f t="shared" si="7"/>
        <v/>
      </c>
      <c r="G35" s="67" t="str">
        <f t="shared" si="4"/>
        <v/>
      </c>
      <c r="H35" s="67" t="str">
        <f t="shared" si="5"/>
        <v/>
      </c>
      <c r="I35" s="7" t="str">
        <f t="shared" si="6"/>
        <v/>
      </c>
      <c r="J35" s="8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5"/>
      <c r="CW35" s="55"/>
      <c r="CX35" s="55"/>
      <c r="CY35" s="55"/>
      <c r="CZ35" s="55"/>
      <c r="DA35" s="55"/>
      <c r="DB35" s="55"/>
      <c r="DC35" s="55"/>
      <c r="DD35" s="55"/>
      <c r="DE35" s="55"/>
      <c r="DF35" s="55"/>
      <c r="DG35" s="55"/>
      <c r="DH35" s="55"/>
      <c r="DI35" s="55"/>
      <c r="DJ35" s="55"/>
      <c r="DK35" s="55"/>
      <c r="DL35" s="55"/>
      <c r="DM35" s="55"/>
      <c r="DN35" s="55"/>
      <c r="DO35" s="55"/>
      <c r="DP35" s="55"/>
      <c r="DQ35" s="55"/>
      <c r="DR35" s="55"/>
      <c r="DS35" s="55"/>
      <c r="DT35" s="55"/>
      <c r="DU35" s="55"/>
      <c r="DV35" s="55"/>
      <c r="DW35" s="55"/>
      <c r="DX35" s="55"/>
      <c r="DY35" s="55"/>
      <c r="DZ35" s="55"/>
      <c r="EA35" s="55"/>
      <c r="EB35" s="55"/>
      <c r="EC35" s="55"/>
      <c r="ED35" s="55"/>
      <c r="EE35" s="55"/>
      <c r="EF35" s="55"/>
      <c r="EG35" s="55"/>
      <c r="EH35" s="55"/>
      <c r="EI35" s="55"/>
      <c r="EJ35" s="55"/>
      <c r="EK35" s="55"/>
      <c r="EL35" s="55"/>
      <c r="EM35" s="55"/>
      <c r="EN35" s="55"/>
      <c r="EO35" s="55"/>
      <c r="EP35" s="55"/>
      <c r="EQ35" s="55"/>
      <c r="ER35" s="55"/>
      <c r="ES35" s="55"/>
      <c r="ET35" s="55"/>
      <c r="EU35" s="55"/>
      <c r="EV35" s="55"/>
      <c r="EW35" s="55"/>
      <c r="EX35" s="55"/>
      <c r="EY35" s="55"/>
      <c r="EZ35" s="55"/>
      <c r="FA35" s="55"/>
      <c r="FB35" s="55"/>
      <c r="FC35" s="55"/>
      <c r="FD35" s="55"/>
      <c r="FE35" s="55"/>
      <c r="FF35" s="55"/>
      <c r="FG35" s="55"/>
      <c r="FH35" s="55"/>
      <c r="FI35" s="55"/>
      <c r="FJ35" s="55"/>
      <c r="FK35" s="55"/>
      <c r="FL35" s="55"/>
      <c r="FM35" s="55"/>
      <c r="FN35" s="55"/>
      <c r="FO35" s="55"/>
      <c r="FP35" s="55"/>
      <c r="FQ35" s="55"/>
      <c r="FR35" s="55"/>
      <c r="FS35" s="55"/>
      <c r="FT35" s="55"/>
      <c r="FU35" s="55"/>
      <c r="FV35" s="55"/>
      <c r="FW35" s="55"/>
      <c r="FX35" s="55"/>
      <c r="FY35" s="55"/>
      <c r="FZ35" s="55"/>
      <c r="GA35" s="55"/>
      <c r="GB35" s="55"/>
      <c r="GC35" s="55"/>
      <c r="GD35" s="55"/>
      <c r="GE35" s="55"/>
      <c r="GF35" s="55"/>
      <c r="GG35" s="55"/>
      <c r="GH35" s="55"/>
      <c r="GI35" s="55"/>
      <c r="GJ35" s="55"/>
      <c r="GK35" s="55"/>
      <c r="GL35" s="55"/>
      <c r="GM35" s="55"/>
      <c r="GN35" s="55"/>
      <c r="GO35" s="55"/>
      <c r="GP35" s="55"/>
      <c r="GQ35" s="55"/>
      <c r="GR35" s="55"/>
      <c r="GS35" s="55"/>
      <c r="GT35" s="55"/>
      <c r="GU35" s="55"/>
      <c r="GV35" s="55"/>
      <c r="GW35" s="55"/>
      <c r="GX35" s="55"/>
      <c r="GY35" s="55"/>
      <c r="GZ35" s="55"/>
      <c r="HA35" s="55"/>
      <c r="HB35" s="55"/>
      <c r="HC35" s="55"/>
      <c r="HD35" s="55"/>
      <c r="HE35" s="55"/>
      <c r="HF35" s="55"/>
      <c r="HG35" s="55"/>
      <c r="HH35" s="55"/>
      <c r="HI35" s="55"/>
      <c r="HJ35" s="55"/>
      <c r="HK35" s="55"/>
      <c r="HL35" s="55"/>
      <c r="HM35" s="55"/>
      <c r="HN35" s="55"/>
      <c r="HO35" s="55"/>
      <c r="HP35" s="55"/>
      <c r="HQ35" s="55"/>
      <c r="HR35" s="55"/>
      <c r="HS35" s="55"/>
      <c r="HT35" s="55"/>
      <c r="HU35" s="55"/>
      <c r="HV35" s="55"/>
      <c r="HW35" s="55"/>
      <c r="HX35" s="55"/>
      <c r="HY35" s="55"/>
      <c r="HZ35" s="55"/>
      <c r="IA35" s="55"/>
      <c r="IB35" s="55"/>
      <c r="IC35" s="55"/>
      <c r="ID35" s="55"/>
      <c r="IE35" s="55"/>
      <c r="IF35" s="55"/>
      <c r="IG35" s="55"/>
      <c r="IH35" s="55"/>
      <c r="II35" s="55"/>
      <c r="IJ35" s="55"/>
      <c r="IK35" s="55"/>
      <c r="IL35" s="55"/>
      <c r="IM35" s="55"/>
      <c r="IN35" s="55"/>
      <c r="IO35" s="55"/>
      <c r="IP35" s="55"/>
      <c r="IQ35" s="55"/>
      <c r="IR35" s="55"/>
      <c r="IS35" s="55"/>
      <c r="IT35" s="55"/>
      <c r="IU35" s="55"/>
      <c r="IV35" s="55"/>
      <c r="IW35" s="55"/>
      <c r="IX35" s="55"/>
      <c r="IY35" s="55"/>
      <c r="IZ35" s="55"/>
      <c r="JA35" s="55"/>
      <c r="JB35" s="55"/>
      <c r="JC35" s="55"/>
      <c r="JD35" s="55"/>
      <c r="JE35" s="55"/>
      <c r="JF35" s="55"/>
      <c r="JG35" s="55"/>
      <c r="JH35" s="55"/>
      <c r="JI35" s="55"/>
      <c r="JJ35" s="55"/>
      <c r="JK35" s="55"/>
      <c r="JL35" s="55"/>
      <c r="JM35" s="55"/>
      <c r="JN35" s="55"/>
      <c r="JO35" s="55"/>
      <c r="JP35" s="55"/>
      <c r="JQ35" s="55"/>
      <c r="JR35" s="55"/>
      <c r="JS35" s="55"/>
      <c r="JT35" s="55"/>
      <c r="JU35" s="55"/>
      <c r="JV35" s="55"/>
      <c r="JW35" s="55"/>
      <c r="JX35" s="55"/>
      <c r="JY35" s="55"/>
      <c r="JZ35" s="55"/>
      <c r="KA35" s="55"/>
      <c r="KB35" s="55"/>
      <c r="KC35" s="55"/>
      <c r="KD35" s="55"/>
      <c r="KE35" s="55"/>
      <c r="KF35" s="55"/>
      <c r="KG35" s="55"/>
      <c r="KH35" s="55"/>
      <c r="KI35" s="55"/>
      <c r="KJ35" s="55"/>
      <c r="KK35" s="55"/>
      <c r="KL35" s="55"/>
      <c r="KM35" s="55"/>
      <c r="KN35" s="55"/>
      <c r="KO35" s="55"/>
      <c r="KP35" s="55"/>
      <c r="KQ35" s="55"/>
      <c r="KR35" s="55"/>
      <c r="KS35" s="55"/>
      <c r="KT35" s="55"/>
      <c r="KU35" s="55"/>
      <c r="KV35" s="55"/>
      <c r="KW35" s="55"/>
      <c r="KX35" s="55"/>
      <c r="KY35" s="55"/>
      <c r="KZ35" s="55"/>
      <c r="LA35" s="55"/>
      <c r="LB35" s="55"/>
      <c r="LC35" s="55"/>
      <c r="LD35" s="55"/>
      <c r="LE35" s="55"/>
      <c r="LF35" s="55"/>
      <c r="LG35" s="55"/>
      <c r="LH35" s="55"/>
      <c r="LI35" s="55"/>
      <c r="LJ35" s="55"/>
      <c r="LK35" s="55"/>
      <c r="LL35" s="55"/>
      <c r="LM35" s="55"/>
      <c r="LN35" s="55"/>
      <c r="LO35" s="55"/>
      <c r="LP35" s="55"/>
      <c r="LQ35" s="55"/>
      <c r="LR35" s="55"/>
      <c r="LS35" s="55"/>
      <c r="LT35" s="55"/>
      <c r="LU35" s="55"/>
      <c r="LV35" s="55"/>
      <c r="LW35" s="55"/>
      <c r="LX35" s="55"/>
      <c r="LY35" s="55"/>
      <c r="LZ35" s="55"/>
      <c r="MA35" s="55"/>
      <c r="MB35" s="55"/>
      <c r="MC35" s="55"/>
      <c r="MD35" s="55"/>
      <c r="ME35" s="55"/>
      <c r="MF35" s="55"/>
      <c r="MG35" s="55"/>
      <c r="MH35" s="55"/>
      <c r="MI35" s="55"/>
      <c r="MJ35" s="55"/>
      <c r="MK35" s="55"/>
      <c r="ML35" s="55"/>
      <c r="MM35" s="55"/>
      <c r="MN35" s="55"/>
      <c r="MO35" s="55"/>
      <c r="MP35" s="55"/>
      <c r="MQ35" s="55"/>
      <c r="MR35" s="55"/>
      <c r="MS35" s="55"/>
      <c r="MT35" s="55"/>
      <c r="MU35" s="55"/>
      <c r="MV35" s="55"/>
      <c r="MW35" s="55"/>
      <c r="MX35" s="55"/>
      <c r="MY35" s="55"/>
      <c r="MZ35" s="55"/>
      <c r="NA35" s="55"/>
      <c r="NB35" s="55"/>
      <c r="NC35" s="55"/>
      <c r="ND35" s="55"/>
      <c r="NE35" s="55"/>
      <c r="NF35" s="55"/>
      <c r="NG35" s="55"/>
      <c r="NH35" s="55"/>
      <c r="NI35" s="55"/>
      <c r="NJ35" s="14"/>
    </row>
    <row r="36" spans="1:374" x14ac:dyDescent="0.2">
      <c r="A36" s="15"/>
      <c r="B36" s="16"/>
      <c r="C36" s="17"/>
      <c r="D36" s="17"/>
      <c r="E36" s="17"/>
      <c r="F36" s="66" t="str">
        <f t="shared" si="7"/>
        <v/>
      </c>
      <c r="G36" s="67" t="str">
        <f t="shared" si="4"/>
        <v/>
      </c>
      <c r="H36" s="67" t="str">
        <f t="shared" si="5"/>
        <v/>
      </c>
      <c r="I36" s="7" t="str">
        <f t="shared" si="6"/>
        <v/>
      </c>
      <c r="J36" s="8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/>
      <c r="CR36" s="55"/>
      <c r="CS36" s="55"/>
      <c r="CT36" s="55"/>
      <c r="CU36" s="55"/>
      <c r="CV36" s="55"/>
      <c r="CW36" s="55"/>
      <c r="CX36" s="55"/>
      <c r="CY36" s="55"/>
      <c r="CZ36" s="55"/>
      <c r="DA36" s="55"/>
      <c r="DB36" s="55"/>
      <c r="DC36" s="55"/>
      <c r="DD36" s="55"/>
      <c r="DE36" s="55"/>
      <c r="DF36" s="55"/>
      <c r="DG36" s="55"/>
      <c r="DH36" s="55"/>
      <c r="DI36" s="55"/>
      <c r="DJ36" s="55"/>
      <c r="DK36" s="55"/>
      <c r="DL36" s="55"/>
      <c r="DM36" s="55"/>
      <c r="DN36" s="55"/>
      <c r="DO36" s="55"/>
      <c r="DP36" s="55"/>
      <c r="DQ36" s="55"/>
      <c r="DR36" s="55"/>
      <c r="DS36" s="55"/>
      <c r="DT36" s="55"/>
      <c r="DU36" s="55"/>
      <c r="DV36" s="55"/>
      <c r="DW36" s="55"/>
      <c r="DX36" s="55"/>
      <c r="DY36" s="55"/>
      <c r="DZ36" s="55"/>
      <c r="EA36" s="55"/>
      <c r="EB36" s="55"/>
      <c r="EC36" s="55"/>
      <c r="ED36" s="55"/>
      <c r="EE36" s="55"/>
      <c r="EF36" s="55"/>
      <c r="EG36" s="55"/>
      <c r="EH36" s="55"/>
      <c r="EI36" s="55"/>
      <c r="EJ36" s="55"/>
      <c r="EK36" s="55"/>
      <c r="EL36" s="55"/>
      <c r="EM36" s="55"/>
      <c r="EN36" s="55"/>
      <c r="EO36" s="55"/>
      <c r="EP36" s="55"/>
      <c r="EQ36" s="55"/>
      <c r="ER36" s="55"/>
      <c r="ES36" s="55"/>
      <c r="ET36" s="55"/>
      <c r="EU36" s="55"/>
      <c r="EV36" s="55"/>
      <c r="EW36" s="55"/>
      <c r="EX36" s="55"/>
      <c r="EY36" s="55"/>
      <c r="EZ36" s="55"/>
      <c r="FA36" s="55"/>
      <c r="FB36" s="55"/>
      <c r="FC36" s="55"/>
      <c r="FD36" s="55"/>
      <c r="FE36" s="55"/>
      <c r="FF36" s="55"/>
      <c r="FG36" s="55"/>
      <c r="FH36" s="55"/>
      <c r="FI36" s="55"/>
      <c r="FJ36" s="55"/>
      <c r="FK36" s="55"/>
      <c r="FL36" s="55"/>
      <c r="FM36" s="55"/>
      <c r="FN36" s="55"/>
      <c r="FO36" s="55"/>
      <c r="FP36" s="55"/>
      <c r="FQ36" s="55"/>
      <c r="FR36" s="55"/>
      <c r="FS36" s="55"/>
      <c r="FT36" s="55"/>
      <c r="FU36" s="55"/>
      <c r="FV36" s="55"/>
      <c r="FW36" s="55"/>
      <c r="FX36" s="55"/>
      <c r="FY36" s="55"/>
      <c r="FZ36" s="55"/>
      <c r="GA36" s="55"/>
      <c r="GB36" s="55"/>
      <c r="GC36" s="55"/>
      <c r="GD36" s="55"/>
      <c r="GE36" s="55"/>
      <c r="GF36" s="55"/>
      <c r="GG36" s="55"/>
      <c r="GH36" s="55"/>
      <c r="GI36" s="55"/>
      <c r="GJ36" s="55"/>
      <c r="GK36" s="55"/>
      <c r="GL36" s="55"/>
      <c r="GM36" s="55"/>
      <c r="GN36" s="55"/>
      <c r="GO36" s="55"/>
      <c r="GP36" s="55"/>
      <c r="GQ36" s="55"/>
      <c r="GR36" s="55"/>
      <c r="GS36" s="55"/>
      <c r="GT36" s="55"/>
      <c r="GU36" s="55"/>
      <c r="GV36" s="55"/>
      <c r="GW36" s="55"/>
      <c r="GX36" s="55"/>
      <c r="GY36" s="55"/>
      <c r="GZ36" s="55"/>
      <c r="HA36" s="55"/>
      <c r="HB36" s="55"/>
      <c r="HC36" s="55"/>
      <c r="HD36" s="55"/>
      <c r="HE36" s="55"/>
      <c r="HF36" s="55"/>
      <c r="HG36" s="55"/>
      <c r="HH36" s="55"/>
      <c r="HI36" s="55"/>
      <c r="HJ36" s="55"/>
      <c r="HK36" s="55"/>
      <c r="HL36" s="55"/>
      <c r="HM36" s="55"/>
      <c r="HN36" s="55"/>
      <c r="HO36" s="55"/>
      <c r="HP36" s="55"/>
      <c r="HQ36" s="55"/>
      <c r="HR36" s="55"/>
      <c r="HS36" s="55"/>
      <c r="HT36" s="55"/>
      <c r="HU36" s="55"/>
      <c r="HV36" s="55"/>
      <c r="HW36" s="55"/>
      <c r="HX36" s="55"/>
      <c r="HY36" s="55"/>
      <c r="HZ36" s="55"/>
      <c r="IA36" s="55"/>
      <c r="IB36" s="55"/>
      <c r="IC36" s="55"/>
      <c r="ID36" s="55"/>
      <c r="IE36" s="55"/>
      <c r="IF36" s="55"/>
      <c r="IG36" s="55"/>
      <c r="IH36" s="55"/>
      <c r="II36" s="55"/>
      <c r="IJ36" s="55"/>
      <c r="IK36" s="55"/>
      <c r="IL36" s="55"/>
      <c r="IM36" s="55"/>
      <c r="IN36" s="55"/>
      <c r="IO36" s="55"/>
      <c r="IP36" s="55"/>
      <c r="IQ36" s="55"/>
      <c r="IR36" s="55"/>
      <c r="IS36" s="55"/>
      <c r="IT36" s="55"/>
      <c r="IU36" s="55"/>
      <c r="IV36" s="55"/>
      <c r="IW36" s="55"/>
      <c r="IX36" s="55"/>
      <c r="IY36" s="55"/>
      <c r="IZ36" s="55"/>
      <c r="JA36" s="55"/>
      <c r="JB36" s="55"/>
      <c r="JC36" s="55"/>
      <c r="JD36" s="55"/>
      <c r="JE36" s="55"/>
      <c r="JF36" s="55"/>
      <c r="JG36" s="55"/>
      <c r="JH36" s="55"/>
      <c r="JI36" s="55"/>
      <c r="JJ36" s="55"/>
      <c r="JK36" s="55"/>
      <c r="JL36" s="55"/>
      <c r="JM36" s="55"/>
      <c r="JN36" s="55"/>
      <c r="JO36" s="55"/>
      <c r="JP36" s="55"/>
      <c r="JQ36" s="55"/>
      <c r="JR36" s="55"/>
      <c r="JS36" s="55"/>
      <c r="JT36" s="55"/>
      <c r="JU36" s="55"/>
      <c r="JV36" s="55"/>
      <c r="JW36" s="55"/>
      <c r="JX36" s="55"/>
      <c r="JY36" s="55"/>
      <c r="JZ36" s="55"/>
      <c r="KA36" s="55"/>
      <c r="KB36" s="55"/>
      <c r="KC36" s="55"/>
      <c r="KD36" s="55"/>
      <c r="KE36" s="55"/>
      <c r="KF36" s="55"/>
      <c r="KG36" s="55"/>
      <c r="KH36" s="55"/>
      <c r="KI36" s="55"/>
      <c r="KJ36" s="55"/>
      <c r="KK36" s="55"/>
      <c r="KL36" s="55"/>
      <c r="KM36" s="55"/>
      <c r="KN36" s="55"/>
      <c r="KO36" s="55"/>
      <c r="KP36" s="55"/>
      <c r="KQ36" s="55"/>
      <c r="KR36" s="55"/>
      <c r="KS36" s="55"/>
      <c r="KT36" s="55"/>
      <c r="KU36" s="55"/>
      <c r="KV36" s="55"/>
      <c r="KW36" s="55"/>
      <c r="KX36" s="55"/>
      <c r="KY36" s="55"/>
      <c r="KZ36" s="55"/>
      <c r="LA36" s="55"/>
      <c r="LB36" s="55"/>
      <c r="LC36" s="55"/>
      <c r="LD36" s="55"/>
      <c r="LE36" s="55"/>
      <c r="LF36" s="55"/>
      <c r="LG36" s="55"/>
      <c r="LH36" s="55"/>
      <c r="LI36" s="55"/>
      <c r="LJ36" s="55"/>
      <c r="LK36" s="55"/>
      <c r="LL36" s="55"/>
      <c r="LM36" s="55"/>
      <c r="LN36" s="55"/>
      <c r="LO36" s="55"/>
      <c r="LP36" s="55"/>
      <c r="LQ36" s="55"/>
      <c r="LR36" s="55"/>
      <c r="LS36" s="55"/>
      <c r="LT36" s="55"/>
      <c r="LU36" s="55"/>
      <c r="LV36" s="55"/>
      <c r="LW36" s="55"/>
      <c r="LX36" s="55"/>
      <c r="LY36" s="55"/>
      <c r="LZ36" s="55"/>
      <c r="MA36" s="55"/>
      <c r="MB36" s="55"/>
      <c r="MC36" s="55"/>
      <c r="MD36" s="55"/>
      <c r="ME36" s="55"/>
      <c r="MF36" s="55"/>
      <c r="MG36" s="55"/>
      <c r="MH36" s="55"/>
      <c r="MI36" s="55"/>
      <c r="MJ36" s="55"/>
      <c r="MK36" s="55"/>
      <c r="ML36" s="55"/>
      <c r="MM36" s="55"/>
      <c r="MN36" s="55"/>
      <c r="MO36" s="55"/>
      <c r="MP36" s="55"/>
      <c r="MQ36" s="55"/>
      <c r="MR36" s="55"/>
      <c r="MS36" s="55"/>
      <c r="MT36" s="55"/>
      <c r="MU36" s="55"/>
      <c r="MV36" s="55"/>
      <c r="MW36" s="55"/>
      <c r="MX36" s="55"/>
      <c r="MY36" s="55"/>
      <c r="MZ36" s="55"/>
      <c r="NA36" s="55"/>
      <c r="NB36" s="55"/>
      <c r="NC36" s="55"/>
      <c r="ND36" s="55"/>
      <c r="NE36" s="55"/>
      <c r="NF36" s="55"/>
      <c r="NG36" s="55"/>
      <c r="NH36" s="55"/>
      <c r="NI36" s="55"/>
      <c r="NJ36" s="14"/>
    </row>
    <row r="37" spans="1:374" x14ac:dyDescent="0.2">
      <c r="A37" s="15"/>
      <c r="B37" s="16"/>
      <c r="C37" s="17"/>
      <c r="D37" s="17"/>
      <c r="E37" s="17"/>
      <c r="F37" s="66" t="str">
        <f t="shared" si="7"/>
        <v/>
      </c>
      <c r="G37" s="67" t="str">
        <f t="shared" si="4"/>
        <v/>
      </c>
      <c r="H37" s="67" t="str">
        <f t="shared" si="5"/>
        <v/>
      </c>
      <c r="I37" s="7" t="str">
        <f t="shared" si="6"/>
        <v/>
      </c>
      <c r="J37" s="8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5"/>
      <c r="CS37" s="55"/>
      <c r="CT37" s="55"/>
      <c r="CU37" s="55"/>
      <c r="CV37" s="55"/>
      <c r="CW37" s="55"/>
      <c r="CX37" s="55"/>
      <c r="CY37" s="55"/>
      <c r="CZ37" s="55"/>
      <c r="DA37" s="55"/>
      <c r="DB37" s="55"/>
      <c r="DC37" s="55"/>
      <c r="DD37" s="55"/>
      <c r="DE37" s="55"/>
      <c r="DF37" s="55"/>
      <c r="DG37" s="55"/>
      <c r="DH37" s="55"/>
      <c r="DI37" s="55"/>
      <c r="DJ37" s="55"/>
      <c r="DK37" s="55"/>
      <c r="DL37" s="55"/>
      <c r="DM37" s="55"/>
      <c r="DN37" s="55"/>
      <c r="DO37" s="55"/>
      <c r="DP37" s="55"/>
      <c r="DQ37" s="55"/>
      <c r="DR37" s="55"/>
      <c r="DS37" s="55"/>
      <c r="DT37" s="55"/>
      <c r="DU37" s="55"/>
      <c r="DV37" s="55"/>
      <c r="DW37" s="55"/>
      <c r="DX37" s="55"/>
      <c r="DY37" s="55"/>
      <c r="DZ37" s="55"/>
      <c r="EA37" s="55"/>
      <c r="EB37" s="55"/>
      <c r="EC37" s="55"/>
      <c r="ED37" s="55"/>
      <c r="EE37" s="55"/>
      <c r="EF37" s="55"/>
      <c r="EG37" s="55"/>
      <c r="EH37" s="55"/>
      <c r="EI37" s="55"/>
      <c r="EJ37" s="55"/>
      <c r="EK37" s="55"/>
      <c r="EL37" s="55"/>
      <c r="EM37" s="55"/>
      <c r="EN37" s="55"/>
      <c r="EO37" s="55"/>
      <c r="EP37" s="55"/>
      <c r="EQ37" s="55"/>
      <c r="ER37" s="55"/>
      <c r="ES37" s="55"/>
      <c r="ET37" s="55"/>
      <c r="EU37" s="55"/>
      <c r="EV37" s="55"/>
      <c r="EW37" s="55"/>
      <c r="EX37" s="55"/>
      <c r="EY37" s="55"/>
      <c r="EZ37" s="55"/>
      <c r="FA37" s="55"/>
      <c r="FB37" s="55"/>
      <c r="FC37" s="55"/>
      <c r="FD37" s="55"/>
      <c r="FE37" s="55"/>
      <c r="FF37" s="55"/>
      <c r="FG37" s="55"/>
      <c r="FH37" s="55"/>
      <c r="FI37" s="55"/>
      <c r="FJ37" s="55"/>
      <c r="FK37" s="55"/>
      <c r="FL37" s="55"/>
      <c r="FM37" s="55"/>
      <c r="FN37" s="55"/>
      <c r="FO37" s="55"/>
      <c r="FP37" s="55"/>
      <c r="FQ37" s="55"/>
      <c r="FR37" s="55"/>
      <c r="FS37" s="55"/>
      <c r="FT37" s="55"/>
      <c r="FU37" s="55"/>
      <c r="FV37" s="55"/>
      <c r="FW37" s="55"/>
      <c r="FX37" s="55"/>
      <c r="FY37" s="55"/>
      <c r="FZ37" s="55"/>
      <c r="GA37" s="55"/>
      <c r="GB37" s="55"/>
      <c r="GC37" s="55"/>
      <c r="GD37" s="55"/>
      <c r="GE37" s="55"/>
      <c r="GF37" s="55"/>
      <c r="GG37" s="55"/>
      <c r="GH37" s="55"/>
      <c r="GI37" s="55"/>
      <c r="GJ37" s="55"/>
      <c r="GK37" s="55"/>
      <c r="GL37" s="55"/>
      <c r="GM37" s="55"/>
      <c r="GN37" s="55"/>
      <c r="GO37" s="55"/>
      <c r="GP37" s="55"/>
      <c r="GQ37" s="55"/>
      <c r="GR37" s="55"/>
      <c r="GS37" s="55"/>
      <c r="GT37" s="55"/>
      <c r="GU37" s="55"/>
      <c r="GV37" s="55"/>
      <c r="GW37" s="55"/>
      <c r="GX37" s="55"/>
      <c r="GY37" s="55"/>
      <c r="GZ37" s="55"/>
      <c r="HA37" s="55"/>
      <c r="HB37" s="55"/>
      <c r="HC37" s="55"/>
      <c r="HD37" s="55"/>
      <c r="HE37" s="55"/>
      <c r="HF37" s="55"/>
      <c r="HG37" s="55"/>
      <c r="HH37" s="55"/>
      <c r="HI37" s="55"/>
      <c r="HJ37" s="55"/>
      <c r="HK37" s="55"/>
      <c r="HL37" s="55"/>
      <c r="HM37" s="55"/>
      <c r="HN37" s="55"/>
      <c r="HO37" s="55"/>
      <c r="HP37" s="55"/>
      <c r="HQ37" s="55"/>
      <c r="HR37" s="55"/>
      <c r="HS37" s="55"/>
      <c r="HT37" s="55"/>
      <c r="HU37" s="55"/>
      <c r="HV37" s="55"/>
      <c r="HW37" s="55"/>
      <c r="HX37" s="55"/>
      <c r="HY37" s="55"/>
      <c r="HZ37" s="55"/>
      <c r="IA37" s="55"/>
      <c r="IB37" s="55"/>
      <c r="IC37" s="55"/>
      <c r="ID37" s="55"/>
      <c r="IE37" s="55"/>
      <c r="IF37" s="55"/>
      <c r="IG37" s="55"/>
      <c r="IH37" s="55"/>
      <c r="II37" s="55"/>
      <c r="IJ37" s="55"/>
      <c r="IK37" s="55"/>
      <c r="IL37" s="55"/>
      <c r="IM37" s="55"/>
      <c r="IN37" s="55"/>
      <c r="IO37" s="55"/>
      <c r="IP37" s="55"/>
      <c r="IQ37" s="55"/>
      <c r="IR37" s="55"/>
      <c r="IS37" s="55"/>
      <c r="IT37" s="55"/>
      <c r="IU37" s="55"/>
      <c r="IV37" s="55"/>
      <c r="IW37" s="55"/>
      <c r="IX37" s="55"/>
      <c r="IY37" s="55"/>
      <c r="IZ37" s="55"/>
      <c r="JA37" s="55"/>
      <c r="JB37" s="55"/>
      <c r="JC37" s="55"/>
      <c r="JD37" s="55"/>
      <c r="JE37" s="55"/>
      <c r="JF37" s="55"/>
      <c r="JG37" s="55"/>
      <c r="JH37" s="55"/>
      <c r="JI37" s="55"/>
      <c r="JJ37" s="55"/>
      <c r="JK37" s="55"/>
      <c r="JL37" s="55"/>
      <c r="JM37" s="55"/>
      <c r="JN37" s="55"/>
      <c r="JO37" s="55"/>
      <c r="JP37" s="55"/>
      <c r="JQ37" s="55"/>
      <c r="JR37" s="55"/>
      <c r="JS37" s="55"/>
      <c r="JT37" s="55"/>
      <c r="JU37" s="55"/>
      <c r="JV37" s="55"/>
      <c r="JW37" s="55"/>
      <c r="JX37" s="55"/>
      <c r="JY37" s="55"/>
      <c r="JZ37" s="55"/>
      <c r="KA37" s="55"/>
      <c r="KB37" s="55"/>
      <c r="KC37" s="55"/>
      <c r="KD37" s="55"/>
      <c r="KE37" s="55"/>
      <c r="KF37" s="55"/>
      <c r="KG37" s="55"/>
      <c r="KH37" s="55"/>
      <c r="KI37" s="55"/>
      <c r="KJ37" s="55"/>
      <c r="KK37" s="55"/>
      <c r="KL37" s="55"/>
      <c r="KM37" s="55"/>
      <c r="KN37" s="55"/>
      <c r="KO37" s="55"/>
      <c r="KP37" s="55"/>
      <c r="KQ37" s="55"/>
      <c r="KR37" s="55"/>
      <c r="KS37" s="55"/>
      <c r="KT37" s="55"/>
      <c r="KU37" s="55"/>
      <c r="KV37" s="55"/>
      <c r="KW37" s="55"/>
      <c r="KX37" s="55"/>
      <c r="KY37" s="55"/>
      <c r="KZ37" s="55"/>
      <c r="LA37" s="55"/>
      <c r="LB37" s="55"/>
      <c r="LC37" s="55"/>
      <c r="LD37" s="55"/>
      <c r="LE37" s="55"/>
      <c r="LF37" s="55"/>
      <c r="LG37" s="55"/>
      <c r="LH37" s="55"/>
      <c r="LI37" s="55"/>
      <c r="LJ37" s="55"/>
      <c r="LK37" s="55"/>
      <c r="LL37" s="55"/>
      <c r="LM37" s="55"/>
      <c r="LN37" s="55"/>
      <c r="LO37" s="55"/>
      <c r="LP37" s="55"/>
      <c r="LQ37" s="55"/>
      <c r="LR37" s="55"/>
      <c r="LS37" s="55"/>
      <c r="LT37" s="55"/>
      <c r="LU37" s="55"/>
      <c r="LV37" s="55"/>
      <c r="LW37" s="55"/>
      <c r="LX37" s="55"/>
      <c r="LY37" s="55"/>
      <c r="LZ37" s="55"/>
      <c r="MA37" s="55"/>
      <c r="MB37" s="55"/>
      <c r="MC37" s="55"/>
      <c r="MD37" s="55"/>
      <c r="ME37" s="55"/>
      <c r="MF37" s="55"/>
      <c r="MG37" s="55"/>
      <c r="MH37" s="55"/>
      <c r="MI37" s="55"/>
      <c r="MJ37" s="55"/>
      <c r="MK37" s="55"/>
      <c r="ML37" s="55"/>
      <c r="MM37" s="55"/>
      <c r="MN37" s="55"/>
      <c r="MO37" s="55"/>
      <c r="MP37" s="55"/>
      <c r="MQ37" s="55"/>
      <c r="MR37" s="55"/>
      <c r="MS37" s="55"/>
      <c r="MT37" s="55"/>
      <c r="MU37" s="55"/>
      <c r="MV37" s="55"/>
      <c r="MW37" s="55"/>
      <c r="MX37" s="55"/>
      <c r="MY37" s="55"/>
      <c r="MZ37" s="55"/>
      <c r="NA37" s="55"/>
      <c r="NB37" s="55"/>
      <c r="NC37" s="55"/>
      <c r="ND37" s="55"/>
      <c r="NE37" s="55"/>
      <c r="NF37" s="55"/>
      <c r="NG37" s="55"/>
      <c r="NH37" s="55"/>
      <c r="NI37" s="55"/>
      <c r="NJ37" s="14"/>
    </row>
    <row r="38" spans="1:374" x14ac:dyDescent="0.2">
      <c r="A38" s="15"/>
      <c r="B38" s="16"/>
      <c r="C38" s="17"/>
      <c r="D38" s="17"/>
      <c r="E38" s="17"/>
      <c r="F38" s="66" t="str">
        <f t="shared" si="7"/>
        <v/>
      </c>
      <c r="G38" s="67" t="str">
        <f t="shared" si="4"/>
        <v/>
      </c>
      <c r="H38" s="67" t="str">
        <f t="shared" si="5"/>
        <v/>
      </c>
      <c r="I38" s="7" t="str">
        <f t="shared" si="6"/>
        <v/>
      </c>
      <c r="J38" s="8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55"/>
      <c r="DK38" s="55"/>
      <c r="DL38" s="55"/>
      <c r="DM38" s="55"/>
      <c r="DN38" s="55"/>
      <c r="DO38" s="55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55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55"/>
      <c r="FF38" s="55"/>
      <c r="FG38" s="55"/>
      <c r="FH38" s="55"/>
      <c r="FI38" s="55"/>
      <c r="FJ38" s="55"/>
      <c r="FK38" s="55"/>
      <c r="FL38" s="55"/>
      <c r="FM38" s="55"/>
      <c r="FN38" s="55"/>
      <c r="FO38" s="55"/>
      <c r="FP38" s="55"/>
      <c r="FQ38" s="55"/>
      <c r="FR38" s="55"/>
      <c r="FS38" s="55"/>
      <c r="FT38" s="55"/>
      <c r="FU38" s="55"/>
      <c r="FV38" s="55"/>
      <c r="FW38" s="55"/>
      <c r="FX38" s="55"/>
      <c r="FY38" s="55"/>
      <c r="FZ38" s="55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GK38" s="55"/>
      <c r="GL38" s="55"/>
      <c r="GM38" s="55"/>
      <c r="GN38" s="55"/>
      <c r="GO38" s="55"/>
      <c r="GP38" s="55"/>
      <c r="GQ38" s="55"/>
      <c r="GR38" s="55"/>
      <c r="GS38" s="55"/>
      <c r="GT38" s="55"/>
      <c r="GU38" s="55"/>
      <c r="GV38" s="55"/>
      <c r="GW38" s="55"/>
      <c r="GX38" s="55"/>
      <c r="GY38" s="55"/>
      <c r="GZ38" s="55"/>
      <c r="HA38" s="55"/>
      <c r="HB38" s="55"/>
      <c r="HC38" s="55"/>
      <c r="HD38" s="55"/>
      <c r="HE38" s="55"/>
      <c r="HF38" s="55"/>
      <c r="HG38" s="55"/>
      <c r="HH38" s="55"/>
      <c r="HI38" s="55"/>
      <c r="HJ38" s="55"/>
      <c r="HK38" s="55"/>
      <c r="HL38" s="55"/>
      <c r="HM38" s="55"/>
      <c r="HN38" s="55"/>
      <c r="HO38" s="55"/>
      <c r="HP38" s="55"/>
      <c r="HQ38" s="55"/>
      <c r="HR38" s="55"/>
      <c r="HS38" s="55"/>
      <c r="HT38" s="55"/>
      <c r="HU38" s="55"/>
      <c r="HV38" s="55"/>
      <c r="HW38" s="55"/>
      <c r="HX38" s="55"/>
      <c r="HY38" s="55"/>
      <c r="HZ38" s="55"/>
      <c r="IA38" s="55"/>
      <c r="IB38" s="55"/>
      <c r="IC38" s="55"/>
      <c r="ID38" s="55"/>
      <c r="IE38" s="55"/>
      <c r="IF38" s="55"/>
      <c r="IG38" s="55"/>
      <c r="IH38" s="55"/>
      <c r="II38" s="55"/>
      <c r="IJ38" s="55"/>
      <c r="IK38" s="55"/>
      <c r="IL38" s="55"/>
      <c r="IM38" s="55"/>
      <c r="IN38" s="55"/>
      <c r="IO38" s="55"/>
      <c r="IP38" s="55"/>
      <c r="IQ38" s="55"/>
      <c r="IR38" s="55"/>
      <c r="IS38" s="55"/>
      <c r="IT38" s="55"/>
      <c r="IU38" s="55"/>
      <c r="IV38" s="55"/>
      <c r="IW38" s="55"/>
      <c r="IX38" s="55"/>
      <c r="IY38" s="55"/>
      <c r="IZ38" s="55"/>
      <c r="JA38" s="55"/>
      <c r="JB38" s="55"/>
      <c r="JC38" s="55"/>
      <c r="JD38" s="55"/>
      <c r="JE38" s="55"/>
      <c r="JF38" s="55"/>
      <c r="JG38" s="55"/>
      <c r="JH38" s="55"/>
      <c r="JI38" s="55"/>
      <c r="JJ38" s="55"/>
      <c r="JK38" s="55"/>
      <c r="JL38" s="55"/>
      <c r="JM38" s="55"/>
      <c r="JN38" s="55"/>
      <c r="JO38" s="55"/>
      <c r="JP38" s="55"/>
      <c r="JQ38" s="55"/>
      <c r="JR38" s="55"/>
      <c r="JS38" s="55"/>
      <c r="JT38" s="55"/>
      <c r="JU38" s="55"/>
      <c r="JV38" s="55"/>
      <c r="JW38" s="55"/>
      <c r="JX38" s="55"/>
      <c r="JY38" s="55"/>
      <c r="JZ38" s="55"/>
      <c r="KA38" s="55"/>
      <c r="KB38" s="55"/>
      <c r="KC38" s="55"/>
      <c r="KD38" s="55"/>
      <c r="KE38" s="55"/>
      <c r="KF38" s="55"/>
      <c r="KG38" s="55"/>
      <c r="KH38" s="55"/>
      <c r="KI38" s="55"/>
      <c r="KJ38" s="55"/>
      <c r="KK38" s="55"/>
      <c r="KL38" s="55"/>
      <c r="KM38" s="55"/>
      <c r="KN38" s="55"/>
      <c r="KO38" s="55"/>
      <c r="KP38" s="55"/>
      <c r="KQ38" s="55"/>
      <c r="KR38" s="55"/>
      <c r="KS38" s="55"/>
      <c r="KT38" s="55"/>
      <c r="KU38" s="55"/>
      <c r="KV38" s="55"/>
      <c r="KW38" s="55"/>
      <c r="KX38" s="55"/>
      <c r="KY38" s="55"/>
      <c r="KZ38" s="55"/>
      <c r="LA38" s="55"/>
      <c r="LB38" s="55"/>
      <c r="LC38" s="55"/>
      <c r="LD38" s="55"/>
      <c r="LE38" s="55"/>
      <c r="LF38" s="55"/>
      <c r="LG38" s="55"/>
      <c r="LH38" s="55"/>
      <c r="LI38" s="55"/>
      <c r="LJ38" s="55"/>
      <c r="LK38" s="55"/>
      <c r="LL38" s="55"/>
      <c r="LM38" s="55"/>
      <c r="LN38" s="55"/>
      <c r="LO38" s="55"/>
      <c r="LP38" s="55"/>
      <c r="LQ38" s="55"/>
      <c r="LR38" s="55"/>
      <c r="LS38" s="55"/>
      <c r="LT38" s="55"/>
      <c r="LU38" s="55"/>
      <c r="LV38" s="55"/>
      <c r="LW38" s="55"/>
      <c r="LX38" s="55"/>
      <c r="LY38" s="55"/>
      <c r="LZ38" s="55"/>
      <c r="MA38" s="55"/>
      <c r="MB38" s="55"/>
      <c r="MC38" s="55"/>
      <c r="MD38" s="55"/>
      <c r="ME38" s="55"/>
      <c r="MF38" s="55"/>
      <c r="MG38" s="55"/>
      <c r="MH38" s="55"/>
      <c r="MI38" s="55"/>
      <c r="MJ38" s="55"/>
      <c r="MK38" s="55"/>
      <c r="ML38" s="55"/>
      <c r="MM38" s="55"/>
      <c r="MN38" s="55"/>
      <c r="MO38" s="55"/>
      <c r="MP38" s="55"/>
      <c r="MQ38" s="55"/>
      <c r="MR38" s="55"/>
      <c r="MS38" s="55"/>
      <c r="MT38" s="55"/>
      <c r="MU38" s="55"/>
      <c r="MV38" s="55"/>
      <c r="MW38" s="55"/>
      <c r="MX38" s="55"/>
      <c r="MY38" s="55"/>
      <c r="MZ38" s="55"/>
      <c r="NA38" s="55"/>
      <c r="NB38" s="55"/>
      <c r="NC38" s="55"/>
      <c r="ND38" s="55"/>
      <c r="NE38" s="55"/>
      <c r="NF38" s="55"/>
      <c r="NG38" s="55"/>
      <c r="NH38" s="55"/>
      <c r="NI38" s="55"/>
      <c r="NJ38" s="14"/>
    </row>
    <row r="39" spans="1:374" x14ac:dyDescent="0.2">
      <c r="A39" s="15"/>
      <c r="B39" s="16"/>
      <c r="C39" s="17"/>
      <c r="D39" s="17"/>
      <c r="E39" s="17"/>
      <c r="F39" s="66" t="str">
        <f t="shared" si="7"/>
        <v/>
      </c>
      <c r="G39" s="67" t="str">
        <f t="shared" si="4"/>
        <v/>
      </c>
      <c r="H39" s="67" t="str">
        <f t="shared" si="5"/>
        <v/>
      </c>
      <c r="I39" s="7" t="str">
        <f t="shared" si="6"/>
        <v/>
      </c>
      <c r="J39" s="8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14"/>
    </row>
    <row r="40" spans="1:374" x14ac:dyDescent="0.2">
      <c r="A40" s="15"/>
      <c r="B40" s="16"/>
      <c r="C40" s="17"/>
      <c r="D40" s="17"/>
      <c r="E40" s="17"/>
      <c r="F40" s="66" t="str">
        <f t="shared" si="7"/>
        <v/>
      </c>
      <c r="G40" s="67" t="str">
        <f t="shared" si="4"/>
        <v/>
      </c>
      <c r="H40" s="67" t="str">
        <f t="shared" si="5"/>
        <v/>
      </c>
      <c r="I40" s="7" t="str">
        <f t="shared" si="6"/>
        <v/>
      </c>
      <c r="J40" s="8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14"/>
    </row>
    <row r="41" spans="1:374" x14ac:dyDescent="0.2">
      <c r="A41" s="15"/>
      <c r="B41" s="16"/>
      <c r="C41" s="17"/>
      <c r="D41" s="17"/>
      <c r="E41" s="17"/>
      <c r="F41" s="66" t="str">
        <f t="shared" si="7"/>
        <v/>
      </c>
      <c r="G41" s="67" t="str">
        <f t="shared" si="4"/>
        <v/>
      </c>
      <c r="H41" s="67" t="str">
        <f t="shared" si="5"/>
        <v/>
      </c>
      <c r="I41" s="7" t="str">
        <f t="shared" si="6"/>
        <v/>
      </c>
      <c r="J41" s="8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14"/>
    </row>
    <row r="42" spans="1:374" x14ac:dyDescent="0.2">
      <c r="A42" s="15"/>
      <c r="B42" s="16"/>
      <c r="C42" s="17"/>
      <c r="D42" s="17"/>
      <c r="E42" s="17"/>
      <c r="F42" s="66" t="str">
        <f t="shared" si="7"/>
        <v/>
      </c>
      <c r="G42" s="67" t="str">
        <f t="shared" si="4"/>
        <v/>
      </c>
      <c r="H42" s="67" t="str">
        <f t="shared" si="5"/>
        <v/>
      </c>
      <c r="I42" s="7" t="str">
        <f t="shared" si="6"/>
        <v/>
      </c>
      <c r="J42" s="8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14"/>
    </row>
    <row r="43" spans="1:374" x14ac:dyDescent="0.2">
      <c r="A43" s="15"/>
      <c r="B43" s="16"/>
      <c r="C43" s="17"/>
      <c r="D43" s="17"/>
      <c r="E43" s="17"/>
      <c r="F43" s="66" t="str">
        <f t="shared" si="7"/>
        <v/>
      </c>
      <c r="G43" s="67" t="str">
        <f t="shared" si="4"/>
        <v/>
      </c>
      <c r="H43" s="67" t="str">
        <f t="shared" si="5"/>
        <v/>
      </c>
      <c r="I43" s="7" t="str">
        <f t="shared" si="6"/>
        <v/>
      </c>
      <c r="J43" s="8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14"/>
    </row>
    <row r="44" spans="1:374" x14ac:dyDescent="0.2">
      <c r="A44" s="15"/>
      <c r="B44" s="16"/>
      <c r="C44" s="17"/>
      <c r="D44" s="17"/>
      <c r="E44" s="17"/>
      <c r="F44" s="66" t="str">
        <f t="shared" si="7"/>
        <v/>
      </c>
      <c r="G44" s="67" t="str">
        <f t="shared" si="4"/>
        <v/>
      </c>
      <c r="H44" s="67" t="str">
        <f t="shared" si="5"/>
        <v/>
      </c>
      <c r="I44" s="7" t="str">
        <f t="shared" si="6"/>
        <v/>
      </c>
      <c r="J44" s="8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14"/>
    </row>
    <row r="45" spans="1:374" x14ac:dyDescent="0.2">
      <c r="A45" s="15"/>
      <c r="B45" s="16"/>
      <c r="C45" s="17"/>
      <c r="D45" s="17"/>
      <c r="E45" s="17"/>
      <c r="F45" s="66" t="str">
        <f t="shared" si="7"/>
        <v/>
      </c>
      <c r="G45" s="67" t="str">
        <f t="shared" si="4"/>
        <v/>
      </c>
      <c r="H45" s="67" t="str">
        <f t="shared" si="5"/>
        <v/>
      </c>
      <c r="I45" s="7" t="str">
        <f t="shared" si="6"/>
        <v/>
      </c>
      <c r="J45" s="8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14"/>
    </row>
    <row r="46" spans="1:374" x14ac:dyDescent="0.2">
      <c r="A46" s="15"/>
      <c r="B46" s="16"/>
      <c r="C46" s="17"/>
      <c r="D46" s="17"/>
      <c r="E46" s="17"/>
      <c r="F46" s="66" t="str">
        <f t="shared" si="7"/>
        <v/>
      </c>
      <c r="G46" s="67" t="str">
        <f t="shared" si="4"/>
        <v/>
      </c>
      <c r="H46" s="67" t="str">
        <f t="shared" si="5"/>
        <v/>
      </c>
      <c r="I46" s="7" t="str">
        <f t="shared" si="6"/>
        <v/>
      </c>
      <c r="J46" s="8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14"/>
    </row>
    <row r="47" spans="1:374" x14ac:dyDescent="0.2">
      <c r="A47" s="15"/>
      <c r="B47" s="16"/>
      <c r="C47" s="17"/>
      <c r="D47" s="17"/>
      <c r="E47" s="17"/>
      <c r="F47" s="66" t="str">
        <f t="shared" si="7"/>
        <v/>
      </c>
      <c r="G47" s="67" t="str">
        <f t="shared" si="4"/>
        <v/>
      </c>
      <c r="H47" s="67" t="str">
        <f t="shared" si="5"/>
        <v/>
      </c>
      <c r="I47" s="7" t="str">
        <f t="shared" si="6"/>
        <v/>
      </c>
      <c r="J47" s="8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  <c r="LH47" s="55"/>
      <c r="LI47" s="55"/>
      <c r="LJ47" s="55"/>
      <c r="LK47" s="55"/>
      <c r="LL47" s="55"/>
      <c r="LM47" s="55"/>
      <c r="LN47" s="55"/>
      <c r="LO47" s="55"/>
      <c r="LP47" s="55"/>
      <c r="LQ47" s="55"/>
      <c r="LR47" s="55"/>
      <c r="LS47" s="55"/>
      <c r="LT47" s="55"/>
      <c r="LU47" s="55"/>
      <c r="LV47" s="55"/>
      <c r="LW47" s="55"/>
      <c r="LX47" s="55"/>
      <c r="LY47" s="55"/>
      <c r="LZ47" s="55"/>
      <c r="MA47" s="55"/>
      <c r="MB47" s="55"/>
      <c r="MC47" s="55"/>
      <c r="MD47" s="55"/>
      <c r="ME47" s="55"/>
      <c r="MF47" s="55"/>
      <c r="MG47" s="55"/>
      <c r="MH47" s="55"/>
      <c r="MI47" s="55"/>
      <c r="MJ47" s="55"/>
      <c r="MK47" s="55"/>
      <c r="ML47" s="55"/>
      <c r="MM47" s="55"/>
      <c r="MN47" s="55"/>
      <c r="MO47" s="55"/>
      <c r="MP47" s="55"/>
      <c r="MQ47" s="55"/>
      <c r="MR47" s="55"/>
      <c r="MS47" s="55"/>
      <c r="MT47" s="55"/>
      <c r="MU47" s="55"/>
      <c r="MV47" s="55"/>
      <c r="MW47" s="55"/>
      <c r="MX47" s="55"/>
      <c r="MY47" s="55"/>
      <c r="MZ47" s="55"/>
      <c r="NA47" s="55"/>
      <c r="NB47" s="55"/>
      <c r="NC47" s="55"/>
      <c r="ND47" s="55"/>
      <c r="NE47" s="55"/>
      <c r="NF47" s="55"/>
      <c r="NG47" s="55"/>
      <c r="NH47" s="55"/>
      <c r="NI47" s="55"/>
      <c r="NJ47" s="14"/>
    </row>
    <row r="48" spans="1:374" x14ac:dyDescent="0.2">
      <c r="A48" s="15"/>
      <c r="B48" s="16"/>
      <c r="C48" s="17"/>
      <c r="D48" s="17"/>
      <c r="E48" s="17"/>
      <c r="F48" s="66" t="str">
        <f t="shared" si="7"/>
        <v/>
      </c>
      <c r="G48" s="67" t="str">
        <f t="shared" si="4"/>
        <v/>
      </c>
      <c r="H48" s="67" t="str">
        <f t="shared" si="5"/>
        <v/>
      </c>
      <c r="I48" s="7" t="str">
        <f t="shared" si="6"/>
        <v/>
      </c>
      <c r="J48" s="8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/>
      <c r="CR48" s="55"/>
      <c r="CS48" s="55"/>
      <c r="CT48" s="55"/>
      <c r="CU48" s="55"/>
      <c r="CV48" s="55"/>
      <c r="CW48" s="55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55"/>
      <c r="DK48" s="55"/>
      <c r="DL48" s="55"/>
      <c r="DM48" s="55"/>
      <c r="DN48" s="55"/>
      <c r="DO48" s="55"/>
      <c r="DP48" s="55"/>
      <c r="DQ48" s="55"/>
      <c r="DR48" s="55"/>
      <c r="DS48" s="55"/>
      <c r="DT48" s="55"/>
      <c r="DU48" s="55"/>
      <c r="DV48" s="55"/>
      <c r="DW48" s="55"/>
      <c r="DX48" s="55"/>
      <c r="DY48" s="55"/>
      <c r="DZ48" s="55"/>
      <c r="EA48" s="55"/>
      <c r="EB48" s="55"/>
      <c r="EC48" s="55"/>
      <c r="ED48" s="55"/>
      <c r="EE48" s="55"/>
      <c r="EF48" s="55"/>
      <c r="EG48" s="55"/>
      <c r="EH48" s="55"/>
      <c r="EI48" s="55"/>
      <c r="EJ48" s="55"/>
      <c r="EK48" s="55"/>
      <c r="EL48" s="55"/>
      <c r="EM48" s="55"/>
      <c r="EN48" s="55"/>
      <c r="EO48" s="55"/>
      <c r="EP48" s="55"/>
      <c r="EQ48" s="55"/>
      <c r="ER48" s="55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55"/>
      <c r="FF48" s="55"/>
      <c r="FG48" s="55"/>
      <c r="FH48" s="55"/>
      <c r="FI48" s="55"/>
      <c r="FJ48" s="55"/>
      <c r="FK48" s="55"/>
      <c r="FL48" s="55"/>
      <c r="FM48" s="55"/>
      <c r="FN48" s="55"/>
      <c r="FO48" s="55"/>
      <c r="FP48" s="55"/>
      <c r="FQ48" s="55"/>
      <c r="FR48" s="55"/>
      <c r="FS48" s="55"/>
      <c r="FT48" s="55"/>
      <c r="FU48" s="55"/>
      <c r="FV48" s="55"/>
      <c r="FW48" s="55"/>
      <c r="FX48" s="55"/>
      <c r="FY48" s="55"/>
      <c r="FZ48" s="55"/>
      <c r="GA48" s="55"/>
      <c r="GB48" s="55"/>
      <c r="GC48" s="55"/>
      <c r="GD48" s="55"/>
      <c r="GE48" s="55"/>
      <c r="GF48" s="55"/>
      <c r="GG48" s="55"/>
      <c r="GH48" s="55"/>
      <c r="GI48" s="55"/>
      <c r="GJ48" s="55"/>
      <c r="GK48" s="55"/>
      <c r="GL48" s="55"/>
      <c r="GM48" s="55"/>
      <c r="GN48" s="55"/>
      <c r="GO48" s="55"/>
      <c r="GP48" s="55"/>
      <c r="GQ48" s="55"/>
      <c r="GR48" s="55"/>
      <c r="GS48" s="55"/>
      <c r="GT48" s="55"/>
      <c r="GU48" s="55"/>
      <c r="GV48" s="55"/>
      <c r="GW48" s="55"/>
      <c r="GX48" s="55"/>
      <c r="GY48" s="55"/>
      <c r="GZ48" s="55"/>
      <c r="HA48" s="55"/>
      <c r="HB48" s="55"/>
      <c r="HC48" s="55"/>
      <c r="HD48" s="55"/>
      <c r="HE48" s="55"/>
      <c r="HF48" s="55"/>
      <c r="HG48" s="55"/>
      <c r="HH48" s="55"/>
      <c r="HI48" s="55"/>
      <c r="HJ48" s="55"/>
      <c r="HK48" s="55"/>
      <c r="HL48" s="55"/>
      <c r="HM48" s="55"/>
      <c r="HN48" s="55"/>
      <c r="HO48" s="55"/>
      <c r="HP48" s="55"/>
      <c r="HQ48" s="55"/>
      <c r="HR48" s="55"/>
      <c r="HS48" s="55"/>
      <c r="HT48" s="55"/>
      <c r="HU48" s="55"/>
      <c r="HV48" s="55"/>
      <c r="HW48" s="55"/>
      <c r="HX48" s="55"/>
      <c r="HY48" s="55"/>
      <c r="HZ48" s="55"/>
      <c r="IA48" s="55"/>
      <c r="IB48" s="55"/>
      <c r="IC48" s="55"/>
      <c r="ID48" s="55"/>
      <c r="IE48" s="55"/>
      <c r="IF48" s="55"/>
      <c r="IG48" s="55"/>
      <c r="IH48" s="55"/>
      <c r="II48" s="55"/>
      <c r="IJ48" s="55"/>
      <c r="IK48" s="55"/>
      <c r="IL48" s="55"/>
      <c r="IM48" s="55"/>
      <c r="IN48" s="55"/>
      <c r="IO48" s="55"/>
      <c r="IP48" s="55"/>
      <c r="IQ48" s="55"/>
      <c r="IR48" s="55"/>
      <c r="IS48" s="55"/>
      <c r="IT48" s="55"/>
      <c r="IU48" s="55"/>
      <c r="IV48" s="55"/>
      <c r="IW48" s="55"/>
      <c r="IX48" s="55"/>
      <c r="IY48" s="55"/>
      <c r="IZ48" s="55"/>
      <c r="JA48" s="55"/>
      <c r="JB48" s="55"/>
      <c r="JC48" s="55"/>
      <c r="JD48" s="55"/>
      <c r="JE48" s="55"/>
      <c r="JF48" s="55"/>
      <c r="JG48" s="55"/>
      <c r="JH48" s="55"/>
      <c r="JI48" s="55"/>
      <c r="JJ48" s="55"/>
      <c r="JK48" s="55"/>
      <c r="JL48" s="55"/>
      <c r="JM48" s="55"/>
      <c r="JN48" s="55"/>
      <c r="JO48" s="55"/>
      <c r="JP48" s="55"/>
      <c r="JQ48" s="55"/>
      <c r="JR48" s="55"/>
      <c r="JS48" s="55"/>
      <c r="JT48" s="55"/>
      <c r="JU48" s="55"/>
      <c r="JV48" s="55"/>
      <c r="JW48" s="55"/>
      <c r="JX48" s="55"/>
      <c r="JY48" s="55"/>
      <c r="JZ48" s="55"/>
      <c r="KA48" s="55"/>
      <c r="KB48" s="55"/>
      <c r="KC48" s="55"/>
      <c r="KD48" s="55"/>
      <c r="KE48" s="55"/>
      <c r="KF48" s="55"/>
      <c r="KG48" s="55"/>
      <c r="KH48" s="55"/>
      <c r="KI48" s="55"/>
      <c r="KJ48" s="55"/>
      <c r="KK48" s="55"/>
      <c r="KL48" s="55"/>
      <c r="KM48" s="55"/>
      <c r="KN48" s="55"/>
      <c r="KO48" s="55"/>
      <c r="KP48" s="55"/>
      <c r="KQ48" s="55"/>
      <c r="KR48" s="55"/>
      <c r="KS48" s="55"/>
      <c r="KT48" s="55"/>
      <c r="KU48" s="55"/>
      <c r="KV48" s="55"/>
      <c r="KW48" s="55"/>
      <c r="KX48" s="55"/>
      <c r="KY48" s="55"/>
      <c r="KZ48" s="55"/>
      <c r="LA48" s="55"/>
      <c r="LB48" s="55"/>
      <c r="LC48" s="55"/>
      <c r="LD48" s="55"/>
      <c r="LE48" s="55"/>
      <c r="LF48" s="55"/>
      <c r="LG48" s="55"/>
      <c r="LH48" s="55"/>
      <c r="LI48" s="55"/>
      <c r="LJ48" s="55"/>
      <c r="LK48" s="55"/>
      <c r="LL48" s="55"/>
      <c r="LM48" s="55"/>
      <c r="LN48" s="55"/>
      <c r="LO48" s="55"/>
      <c r="LP48" s="55"/>
      <c r="LQ48" s="55"/>
      <c r="LR48" s="55"/>
      <c r="LS48" s="55"/>
      <c r="LT48" s="55"/>
      <c r="LU48" s="55"/>
      <c r="LV48" s="55"/>
      <c r="LW48" s="55"/>
      <c r="LX48" s="55"/>
      <c r="LY48" s="55"/>
      <c r="LZ48" s="55"/>
      <c r="MA48" s="55"/>
      <c r="MB48" s="55"/>
      <c r="MC48" s="55"/>
      <c r="MD48" s="55"/>
      <c r="ME48" s="55"/>
      <c r="MF48" s="55"/>
      <c r="MG48" s="55"/>
      <c r="MH48" s="55"/>
      <c r="MI48" s="55"/>
      <c r="MJ48" s="55"/>
      <c r="MK48" s="55"/>
      <c r="ML48" s="55"/>
      <c r="MM48" s="55"/>
      <c r="MN48" s="55"/>
      <c r="MO48" s="55"/>
      <c r="MP48" s="55"/>
      <c r="MQ48" s="55"/>
      <c r="MR48" s="55"/>
      <c r="MS48" s="55"/>
      <c r="MT48" s="55"/>
      <c r="MU48" s="55"/>
      <c r="MV48" s="55"/>
      <c r="MW48" s="55"/>
      <c r="MX48" s="55"/>
      <c r="MY48" s="55"/>
      <c r="MZ48" s="55"/>
      <c r="NA48" s="55"/>
      <c r="NB48" s="55"/>
      <c r="NC48" s="55"/>
      <c r="ND48" s="55"/>
      <c r="NE48" s="55"/>
      <c r="NF48" s="55"/>
      <c r="NG48" s="55"/>
      <c r="NH48" s="55"/>
      <c r="NI48" s="55"/>
      <c r="NJ48" s="14"/>
    </row>
    <row r="49" spans="1:374" x14ac:dyDescent="0.2">
      <c r="A49" s="15"/>
      <c r="B49" s="16"/>
      <c r="C49" s="17"/>
      <c r="D49" s="17"/>
      <c r="E49" s="17"/>
      <c r="F49" s="66" t="str">
        <f>IF(ISBLANK(A49),"",IF(OR(ISBLANK(C49),ISBLANK(D49)),0,D49-C49))</f>
        <v/>
      </c>
      <c r="G49" s="67" t="str">
        <f t="shared" si="4"/>
        <v/>
      </c>
      <c r="H49" s="67" t="str">
        <f t="shared" si="5"/>
        <v/>
      </c>
      <c r="I49" s="7" t="str">
        <f t="shared" si="6"/>
        <v/>
      </c>
      <c r="J49" s="8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/>
      <c r="CR49" s="55"/>
      <c r="CS49" s="55"/>
      <c r="CT49" s="55"/>
      <c r="CU49" s="55"/>
      <c r="CV49" s="55"/>
      <c r="CW49" s="55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55"/>
      <c r="DK49" s="55"/>
      <c r="DL49" s="55"/>
      <c r="DM49" s="55"/>
      <c r="DN49" s="55"/>
      <c r="DO49" s="55"/>
      <c r="DP49" s="55"/>
      <c r="DQ49" s="55"/>
      <c r="DR49" s="55"/>
      <c r="DS49" s="55"/>
      <c r="DT49" s="55"/>
      <c r="DU49" s="55"/>
      <c r="DV49" s="55"/>
      <c r="DW49" s="55"/>
      <c r="DX49" s="55"/>
      <c r="DY49" s="55"/>
      <c r="DZ49" s="55"/>
      <c r="EA49" s="55"/>
      <c r="EB49" s="55"/>
      <c r="EC49" s="55"/>
      <c r="ED49" s="55"/>
      <c r="EE49" s="55"/>
      <c r="EF49" s="55"/>
      <c r="EG49" s="55"/>
      <c r="EH49" s="55"/>
      <c r="EI49" s="55"/>
      <c r="EJ49" s="55"/>
      <c r="EK49" s="55"/>
      <c r="EL49" s="55"/>
      <c r="EM49" s="55"/>
      <c r="EN49" s="55"/>
      <c r="EO49" s="55"/>
      <c r="EP49" s="55"/>
      <c r="EQ49" s="55"/>
      <c r="ER49" s="55"/>
      <c r="ES49" s="55"/>
      <c r="ET49" s="55"/>
      <c r="EU49" s="55"/>
      <c r="EV49" s="55"/>
      <c r="EW49" s="55"/>
      <c r="EX49" s="55"/>
      <c r="EY49" s="55"/>
      <c r="EZ49" s="55"/>
      <c r="FA49" s="55"/>
      <c r="FB49" s="55"/>
      <c r="FC49" s="55"/>
      <c r="FD49" s="55"/>
      <c r="FE49" s="55"/>
      <c r="FF49" s="55"/>
      <c r="FG49" s="55"/>
      <c r="FH49" s="55"/>
      <c r="FI49" s="55"/>
      <c r="FJ49" s="55"/>
      <c r="FK49" s="55"/>
      <c r="FL49" s="55"/>
      <c r="FM49" s="55"/>
      <c r="FN49" s="55"/>
      <c r="FO49" s="55"/>
      <c r="FP49" s="55"/>
      <c r="FQ49" s="55"/>
      <c r="FR49" s="55"/>
      <c r="FS49" s="55"/>
      <c r="FT49" s="55"/>
      <c r="FU49" s="55"/>
      <c r="FV49" s="55"/>
      <c r="FW49" s="55"/>
      <c r="FX49" s="55"/>
      <c r="FY49" s="55"/>
      <c r="FZ49" s="55"/>
      <c r="GA49" s="55"/>
      <c r="GB49" s="55"/>
      <c r="GC49" s="55"/>
      <c r="GD49" s="55"/>
      <c r="GE49" s="55"/>
      <c r="GF49" s="55"/>
      <c r="GG49" s="55"/>
      <c r="GH49" s="55"/>
      <c r="GI49" s="55"/>
      <c r="GJ49" s="55"/>
      <c r="GK49" s="55"/>
      <c r="GL49" s="55"/>
      <c r="GM49" s="55"/>
      <c r="GN49" s="55"/>
      <c r="GO49" s="55"/>
      <c r="GP49" s="55"/>
      <c r="GQ49" s="55"/>
      <c r="GR49" s="55"/>
      <c r="GS49" s="55"/>
      <c r="GT49" s="55"/>
      <c r="GU49" s="55"/>
      <c r="GV49" s="55"/>
      <c r="GW49" s="55"/>
      <c r="GX49" s="55"/>
      <c r="GY49" s="55"/>
      <c r="GZ49" s="55"/>
      <c r="HA49" s="55"/>
      <c r="HB49" s="55"/>
      <c r="HC49" s="55"/>
      <c r="HD49" s="55"/>
      <c r="HE49" s="55"/>
      <c r="HF49" s="55"/>
      <c r="HG49" s="55"/>
      <c r="HH49" s="55"/>
      <c r="HI49" s="55"/>
      <c r="HJ49" s="55"/>
      <c r="HK49" s="55"/>
      <c r="HL49" s="55"/>
      <c r="HM49" s="55"/>
      <c r="HN49" s="55"/>
      <c r="HO49" s="55"/>
      <c r="HP49" s="55"/>
      <c r="HQ49" s="55"/>
      <c r="HR49" s="55"/>
      <c r="HS49" s="55"/>
      <c r="HT49" s="55"/>
      <c r="HU49" s="55"/>
      <c r="HV49" s="55"/>
      <c r="HW49" s="55"/>
      <c r="HX49" s="55"/>
      <c r="HY49" s="55"/>
      <c r="HZ49" s="55"/>
      <c r="IA49" s="55"/>
      <c r="IB49" s="55"/>
      <c r="IC49" s="55"/>
      <c r="ID49" s="55"/>
      <c r="IE49" s="55"/>
      <c r="IF49" s="55"/>
      <c r="IG49" s="55"/>
      <c r="IH49" s="55"/>
      <c r="II49" s="55"/>
      <c r="IJ49" s="55"/>
      <c r="IK49" s="55"/>
      <c r="IL49" s="55"/>
      <c r="IM49" s="55"/>
      <c r="IN49" s="55"/>
      <c r="IO49" s="55"/>
      <c r="IP49" s="55"/>
      <c r="IQ49" s="55"/>
      <c r="IR49" s="55"/>
      <c r="IS49" s="55"/>
      <c r="IT49" s="55"/>
      <c r="IU49" s="55"/>
      <c r="IV49" s="55"/>
      <c r="IW49" s="55"/>
      <c r="IX49" s="55"/>
      <c r="IY49" s="55"/>
      <c r="IZ49" s="55"/>
      <c r="JA49" s="55"/>
      <c r="JB49" s="55"/>
      <c r="JC49" s="55"/>
      <c r="JD49" s="55"/>
      <c r="JE49" s="55"/>
      <c r="JF49" s="55"/>
      <c r="JG49" s="55"/>
      <c r="JH49" s="55"/>
      <c r="JI49" s="55"/>
      <c r="JJ49" s="55"/>
      <c r="JK49" s="55"/>
      <c r="JL49" s="55"/>
      <c r="JM49" s="55"/>
      <c r="JN49" s="55"/>
      <c r="JO49" s="55"/>
      <c r="JP49" s="55"/>
      <c r="JQ49" s="55"/>
      <c r="JR49" s="55"/>
      <c r="JS49" s="55"/>
      <c r="JT49" s="55"/>
      <c r="JU49" s="55"/>
      <c r="JV49" s="55"/>
      <c r="JW49" s="55"/>
      <c r="JX49" s="55"/>
      <c r="JY49" s="55"/>
      <c r="JZ49" s="55"/>
      <c r="KA49" s="55"/>
      <c r="KB49" s="55"/>
      <c r="KC49" s="55"/>
      <c r="KD49" s="55"/>
      <c r="KE49" s="55"/>
      <c r="KF49" s="55"/>
      <c r="KG49" s="55"/>
      <c r="KH49" s="55"/>
      <c r="KI49" s="55"/>
      <c r="KJ49" s="55"/>
      <c r="KK49" s="55"/>
      <c r="KL49" s="55"/>
      <c r="KM49" s="55"/>
      <c r="KN49" s="55"/>
      <c r="KO49" s="55"/>
      <c r="KP49" s="55"/>
      <c r="KQ49" s="55"/>
      <c r="KR49" s="55"/>
      <c r="KS49" s="55"/>
      <c r="KT49" s="55"/>
      <c r="KU49" s="55"/>
      <c r="KV49" s="55"/>
      <c r="KW49" s="55"/>
      <c r="KX49" s="55"/>
      <c r="KY49" s="55"/>
      <c r="KZ49" s="55"/>
      <c r="LA49" s="55"/>
      <c r="LB49" s="55"/>
      <c r="LC49" s="55"/>
      <c r="LD49" s="55"/>
      <c r="LE49" s="55"/>
      <c r="LF49" s="55"/>
      <c r="LG49" s="55"/>
      <c r="LH49" s="55"/>
      <c r="LI49" s="55"/>
      <c r="LJ49" s="55"/>
      <c r="LK49" s="55"/>
      <c r="LL49" s="55"/>
      <c r="LM49" s="55"/>
      <c r="LN49" s="55"/>
      <c r="LO49" s="55"/>
      <c r="LP49" s="55"/>
      <c r="LQ49" s="55"/>
      <c r="LR49" s="55"/>
      <c r="LS49" s="55"/>
      <c r="LT49" s="55"/>
      <c r="LU49" s="55"/>
      <c r="LV49" s="55"/>
      <c r="LW49" s="55"/>
      <c r="LX49" s="55"/>
      <c r="LY49" s="55"/>
      <c r="LZ49" s="55"/>
      <c r="MA49" s="55"/>
      <c r="MB49" s="55"/>
      <c r="MC49" s="55"/>
      <c r="MD49" s="55"/>
      <c r="ME49" s="55"/>
      <c r="MF49" s="55"/>
      <c r="MG49" s="55"/>
      <c r="MH49" s="55"/>
      <c r="MI49" s="55"/>
      <c r="MJ49" s="55"/>
      <c r="MK49" s="55"/>
      <c r="ML49" s="55"/>
      <c r="MM49" s="55"/>
      <c r="MN49" s="55"/>
      <c r="MO49" s="55"/>
      <c r="MP49" s="55"/>
      <c r="MQ49" s="55"/>
      <c r="MR49" s="55"/>
      <c r="MS49" s="55"/>
      <c r="MT49" s="55"/>
      <c r="MU49" s="55"/>
      <c r="MV49" s="55"/>
      <c r="MW49" s="55"/>
      <c r="MX49" s="55"/>
      <c r="MY49" s="55"/>
      <c r="MZ49" s="55"/>
      <c r="NA49" s="55"/>
      <c r="NB49" s="55"/>
      <c r="NC49" s="55"/>
      <c r="ND49" s="55"/>
      <c r="NE49" s="55"/>
      <c r="NF49" s="55"/>
      <c r="NG49" s="55"/>
      <c r="NH49" s="55"/>
      <c r="NI49" s="55"/>
      <c r="NJ49" s="14"/>
    </row>
    <row r="50" spans="1:374" x14ac:dyDescent="0.2">
      <c r="A50" s="3"/>
      <c r="B50" s="5"/>
      <c r="C50" s="4"/>
      <c r="D50" s="9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55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55"/>
      <c r="NH50" s="55"/>
      <c r="NI50" s="55"/>
    </row>
    <row r="51" spans="1:374" x14ac:dyDescent="0.2">
      <c r="CC51" s="57"/>
      <c r="NG51" s="56"/>
      <c r="NH51" s="56"/>
      <c r="NI51" s="56"/>
    </row>
    <row r="52" spans="1:374" x14ac:dyDescent="0.2">
      <c r="CC52" s="57"/>
    </row>
    <row r="53" spans="1:374" x14ac:dyDescent="0.2">
      <c r="D53" s="10"/>
    </row>
  </sheetData>
  <sheetProtection autoFilter="0"/>
  <autoFilter ref="A5:A49"/>
  <dataConsolidate/>
  <mergeCells count="42">
    <mergeCell ref="J2:CB4"/>
    <mergeCell ref="DY2:EE4"/>
    <mergeCell ref="CI2:CO4"/>
    <mergeCell ref="CP2:CV4"/>
    <mergeCell ref="CW2:DC4"/>
    <mergeCell ref="DD2:DJ4"/>
    <mergeCell ref="DK2:DQ4"/>
    <mergeCell ref="DR2:DX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GQ2:GW4"/>
    <mergeCell ref="GX2:HD4"/>
    <mergeCell ref="HE2:HK4"/>
    <mergeCell ref="HL2:HR4"/>
    <mergeCell ref="HS2:HY4"/>
    <mergeCell ref="HZ2:IF4"/>
    <mergeCell ref="IG2:IM4"/>
    <mergeCell ref="IN2:IT4"/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</mergeCells>
  <conditionalFormatting sqref="I23:CB49 A25:E49 F6:CB20 G21:CB21 C23:E24 C21:D22 J22:CB22 C8:E20 A8:A24">
    <cfRule type="expression" dxfId="115" priority="260">
      <formula>LEN($A6)=1</formula>
    </cfRule>
  </conditionalFormatting>
  <conditionalFormatting sqref="A25:E49 C23:E24 C21:D22 C8:E20 A8:A24">
    <cfRule type="expression" dxfId="114" priority="263">
      <formula>LEN($A8)&gt;1</formula>
    </cfRule>
  </conditionalFormatting>
  <conditionalFormatting sqref="J6:CB49 J2 CD2:CH4">
    <cfRule type="expression" dxfId="113" priority="259">
      <formula>J$2&lt;&gt;C$2</formula>
    </cfRule>
  </conditionalFormatting>
  <conditionalFormatting sqref="J6:CB49">
    <cfRule type="expression" dxfId="112" priority="161" stopIfTrue="1">
      <formula>J$1=Today</formula>
    </cfRule>
    <cfRule type="expression" dxfId="111" priority="240" stopIfTrue="1">
      <formula>AND(LEN($A6)=1,J$1&gt;=$C6,J$1&lt;=$D6,J$1&gt;Today,IF(ISBLANK($E6),TRUE,J$1&lt;=$E6))</formula>
    </cfRule>
    <cfRule type="expression" dxfId="110" priority="258" stopIfTrue="1">
      <formula>AND(LEN($A6)=1,J$1&lt;Today,J$1&gt;$C6,NOT(ISBLANK($C6)),$D6&lt;Today,IF(ISBLANK($E6),J$1&gt;$D6,J$1&lt;$E6))</formula>
    </cfRule>
  </conditionalFormatting>
  <conditionalFormatting sqref="J6:CB49">
    <cfRule type="expression" dxfId="109" priority="238" stopIfTrue="1">
      <formula>AND(LEN($A6)&gt;1,J$1&gt;=$C6,J$1&lt;=$D6,J$1&gt;Today,IF(ISBLANK($E6),TRUE,J$1&lt;=$E6))</formula>
    </cfRule>
    <cfRule type="expression" dxfId="108" priority="255" stopIfTrue="1">
      <formula>AND(LEN($A6)&gt;1,J$1&gt;=$C6,J$1&lt;=$D6,IF(ISBLANK($E6),TRUE,J$1&lt;=$E6))</formula>
    </cfRule>
    <cfRule type="expression" dxfId="107" priority="256" stopIfTrue="1">
      <formula>AND(LEN($A6)=1,J$1&gt;=$C6,J$1&lt;=$D6,IF(ISBLANK($E6),TRUE,J$1&lt;=$E6))</formula>
    </cfRule>
    <cfRule type="expression" dxfId="106" priority="257" stopIfTrue="1">
      <formula>AND(LEN($A6)&gt;1,J$1&lt;Today,J$1&gt;$C6,NOT(ISBLANK($C6)),$D6&lt;Today,IF(ISBLANK($E6),J$1&gt;$D6,J$1&lt;$E6))</formula>
    </cfRule>
  </conditionalFormatting>
  <conditionalFormatting sqref="A6:A7 C6:E6">
    <cfRule type="expression" dxfId="105" priority="77">
      <formula>LEN($A6)=1</formula>
    </cfRule>
  </conditionalFormatting>
  <conditionalFormatting sqref="A6:A7 C6:E6">
    <cfRule type="expression" dxfId="104" priority="78">
      <formula>LEN($A6)&gt;1</formula>
    </cfRule>
  </conditionalFormatting>
  <conditionalFormatting sqref="F23:H28">
    <cfRule type="expression" dxfId="103" priority="76">
      <formula>LEN($A23)=1</formula>
    </cfRule>
  </conditionalFormatting>
  <conditionalFormatting sqref="F29:H49">
    <cfRule type="expression" dxfId="102" priority="75">
      <formula>LEN($A29)=1</formula>
    </cfRule>
  </conditionalFormatting>
  <conditionalFormatting sqref="B7">
    <cfRule type="expression" dxfId="101" priority="272">
      <formula>LEN($A8)=1</formula>
    </cfRule>
  </conditionalFormatting>
  <conditionalFormatting sqref="B7">
    <cfRule type="expression" dxfId="100" priority="275">
      <formula>LEN($A8)&gt;1</formula>
    </cfRule>
  </conditionalFormatting>
  <conditionalFormatting sqref="C7:D7">
    <cfRule type="expression" dxfId="95" priority="69">
      <formula>LEN($A7)=1</formula>
    </cfRule>
  </conditionalFormatting>
  <conditionalFormatting sqref="C7:D7">
    <cfRule type="expression" dxfId="94" priority="70">
      <formula>LEN($A7)&gt;1</formula>
    </cfRule>
  </conditionalFormatting>
  <conditionalFormatting sqref="B23:B24">
    <cfRule type="expression" dxfId="91" priority="67">
      <formula>LEN($A23)=1</formula>
    </cfRule>
  </conditionalFormatting>
  <conditionalFormatting sqref="B23:B24">
    <cfRule type="expression" dxfId="90" priority="68">
      <formula>LEN($A23)&gt;1</formula>
    </cfRule>
  </conditionalFormatting>
  <conditionalFormatting sqref="B10">
    <cfRule type="expression" dxfId="87" priority="287">
      <formula>LEN($A11)=1</formula>
    </cfRule>
  </conditionalFormatting>
  <conditionalFormatting sqref="B10">
    <cfRule type="expression" dxfId="86" priority="290">
      <formula>LEN($A11)&gt;1</formula>
    </cfRule>
  </conditionalFormatting>
  <conditionalFormatting sqref="B8">
    <cfRule type="expression" dxfId="85" priority="65">
      <formula>LEN($A8)=1</formula>
    </cfRule>
  </conditionalFormatting>
  <conditionalFormatting sqref="B8">
    <cfRule type="expression" dxfId="84" priority="66">
      <formula>LEN($A8)&gt;1</formula>
    </cfRule>
  </conditionalFormatting>
  <conditionalFormatting sqref="B9">
    <cfRule type="expression" dxfId="83" priority="63">
      <formula>LEN($A9)=1</formula>
    </cfRule>
  </conditionalFormatting>
  <conditionalFormatting sqref="B9">
    <cfRule type="expression" dxfId="82" priority="64">
      <formula>LEN($A9)&gt;1</formula>
    </cfRule>
  </conditionalFormatting>
  <conditionalFormatting sqref="B6">
    <cfRule type="expression" dxfId="57" priority="47">
      <formula>LEN($A6)=1</formula>
    </cfRule>
  </conditionalFormatting>
  <conditionalFormatting sqref="B6">
    <cfRule type="expression" dxfId="56" priority="48">
      <formula>LEN($A6)&gt;1</formula>
    </cfRule>
  </conditionalFormatting>
  <conditionalFormatting sqref="B12">
    <cfRule type="expression" dxfId="55" priority="45">
      <formula>LEN($A12)=1</formula>
    </cfRule>
  </conditionalFormatting>
  <conditionalFormatting sqref="B12">
    <cfRule type="expression" dxfId="54" priority="46">
      <formula>LEN($A12)&gt;1</formula>
    </cfRule>
  </conditionalFormatting>
  <conditionalFormatting sqref="B15">
    <cfRule type="expression" dxfId="53" priority="43">
      <formula>LEN($A15)=1</formula>
    </cfRule>
  </conditionalFormatting>
  <conditionalFormatting sqref="B15">
    <cfRule type="expression" dxfId="52" priority="44">
      <formula>LEN($A15)&gt;1</formula>
    </cfRule>
  </conditionalFormatting>
  <conditionalFormatting sqref="B18">
    <cfRule type="expression" dxfId="51" priority="41">
      <formula>LEN($A18)=1</formula>
    </cfRule>
  </conditionalFormatting>
  <conditionalFormatting sqref="B18">
    <cfRule type="expression" dxfId="50" priority="42">
      <formula>LEN($A18)&gt;1</formula>
    </cfRule>
  </conditionalFormatting>
  <conditionalFormatting sqref="B13:B14">
    <cfRule type="expression" dxfId="49" priority="39">
      <formula>LEN($A13)=1</formula>
    </cfRule>
  </conditionalFormatting>
  <conditionalFormatting sqref="B13:B14">
    <cfRule type="expression" dxfId="48" priority="40">
      <formula>LEN($A13)&gt;1</formula>
    </cfRule>
  </conditionalFormatting>
  <conditionalFormatting sqref="B15:B17">
    <cfRule type="expression" dxfId="47" priority="37">
      <formula>LEN($A15)=1</formula>
    </cfRule>
  </conditionalFormatting>
  <conditionalFormatting sqref="B15:B17">
    <cfRule type="expression" dxfId="46" priority="38">
      <formula>LEN($A15)&gt;1</formula>
    </cfRule>
  </conditionalFormatting>
  <conditionalFormatting sqref="B18:B22">
    <cfRule type="expression" dxfId="45" priority="35">
      <formula>LEN($A18)=1</formula>
    </cfRule>
  </conditionalFormatting>
  <conditionalFormatting sqref="B18:B22">
    <cfRule type="expression" dxfId="44" priority="36">
      <formula>LEN($A18)&gt;1</formula>
    </cfRule>
  </conditionalFormatting>
  <conditionalFormatting sqref="E21:F21">
    <cfRule type="expression" dxfId="43" priority="33">
      <formula>LEN($A21)=1</formula>
    </cfRule>
  </conditionalFormatting>
  <conditionalFormatting sqref="E21">
    <cfRule type="expression" dxfId="42" priority="34">
      <formula>LEN($A21)&gt;1</formula>
    </cfRule>
  </conditionalFormatting>
  <conditionalFormatting sqref="B17">
    <cfRule type="expression" dxfId="41" priority="31">
      <formula>LEN($A17)=1</formula>
    </cfRule>
  </conditionalFormatting>
  <conditionalFormatting sqref="B17">
    <cfRule type="expression" dxfId="40" priority="32">
      <formula>LEN($A17)&gt;1</formula>
    </cfRule>
  </conditionalFormatting>
  <conditionalFormatting sqref="E22">
    <cfRule type="expression" dxfId="38" priority="28">
      <formula>LEN($A22)=1</formula>
    </cfRule>
  </conditionalFormatting>
  <conditionalFormatting sqref="E22">
    <cfRule type="expression" dxfId="37" priority="29">
      <formula>LEN($A22)&gt;1</formula>
    </cfRule>
  </conditionalFormatting>
  <conditionalFormatting sqref="E7">
    <cfRule type="expression" dxfId="35" priority="25">
      <formula>LEN($A7)=1</formula>
    </cfRule>
  </conditionalFormatting>
  <conditionalFormatting sqref="E7">
    <cfRule type="expression" dxfId="34" priority="26">
      <formula>LEN($A7)&gt;1</formula>
    </cfRule>
  </conditionalFormatting>
  <conditionalFormatting sqref="A8">
    <cfRule type="expression" dxfId="33" priority="19">
      <formula>LEN($A8)=1</formula>
    </cfRule>
  </conditionalFormatting>
  <conditionalFormatting sqref="A8">
    <cfRule type="expression" dxfId="32" priority="20">
      <formula>LEN($A8)&gt;1</formula>
    </cfRule>
  </conditionalFormatting>
  <conditionalFormatting sqref="B8">
    <cfRule type="expression" dxfId="31" priority="21">
      <formula>LEN($A9)=1</formula>
    </cfRule>
  </conditionalFormatting>
  <conditionalFormatting sqref="B8">
    <cfRule type="expression" dxfId="30" priority="22">
      <formula>LEN($A9)&gt;1</formula>
    </cfRule>
  </conditionalFormatting>
  <conditionalFormatting sqref="C8:D8">
    <cfRule type="expression" dxfId="29" priority="17">
      <formula>LEN($A8)=1</formula>
    </cfRule>
  </conditionalFormatting>
  <conditionalFormatting sqref="C8:D8">
    <cfRule type="expression" dxfId="28" priority="18">
      <formula>LEN($A8)&gt;1</formula>
    </cfRule>
  </conditionalFormatting>
  <conditionalFormatting sqref="B9">
    <cfRule type="expression" dxfId="25" priority="15">
      <formula>LEN($A9)=1</formula>
    </cfRule>
  </conditionalFormatting>
  <conditionalFormatting sqref="B9">
    <cfRule type="expression" dxfId="24" priority="16">
      <formula>LEN($A9)&gt;1</formula>
    </cfRule>
  </conditionalFormatting>
  <conditionalFormatting sqref="B10">
    <cfRule type="expression" dxfId="23" priority="13">
      <formula>LEN($A10)=1</formula>
    </cfRule>
  </conditionalFormatting>
  <conditionalFormatting sqref="B10">
    <cfRule type="expression" dxfId="22" priority="14">
      <formula>LEN($A10)&gt;1</formula>
    </cfRule>
  </conditionalFormatting>
  <conditionalFormatting sqref="E8">
    <cfRule type="expression" dxfId="21" priority="11">
      <formula>LEN($A8)=1</formula>
    </cfRule>
  </conditionalFormatting>
  <conditionalFormatting sqref="E8">
    <cfRule type="expression" dxfId="20" priority="12">
      <formula>LEN($A8)&gt;1</formula>
    </cfRule>
  </conditionalFormatting>
  <conditionalFormatting sqref="B11">
    <cfRule type="expression" dxfId="11" priority="5">
      <formula>LEN($A11)=1</formula>
    </cfRule>
  </conditionalFormatting>
  <conditionalFormatting sqref="B11">
    <cfRule type="expression" dxfId="9" priority="6">
      <formula>LEN($A11)&gt;1</formula>
    </cfRule>
  </conditionalFormatting>
  <conditionalFormatting sqref="B11">
    <cfRule type="expression" dxfId="7" priority="3">
      <formula>LEN($A11)=1</formula>
    </cfRule>
  </conditionalFormatting>
  <conditionalFormatting sqref="B11">
    <cfRule type="expression" dxfId="5" priority="4">
      <formula>LEN($A11)&gt;1</formula>
    </cfRule>
  </conditionalFormatting>
  <conditionalFormatting sqref="G22:I22">
    <cfRule type="expression" dxfId="3" priority="2">
      <formula>LEN($A22)=1</formula>
    </cfRule>
  </conditionalFormatting>
  <conditionalFormatting sqref="F22">
    <cfRule type="expression" dxfId="1" priority="1">
      <formula>LEN($A22)=1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 single character, e.g. &quot;1&quot; or &quot;A&quot;._x000a__x000a_For sub-tasks, enter more than 1 character, e.g. &quot;1.1&quot; or &quot;A.1&quot; or &quot;1a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E7:E8 C6:D49"/>
  </dataValidations>
  <pageMargins left="0.43307086614173229" right="0.43307086614173229" top="0.74803149606299213" bottom="0.74803149606299213" header="0.31496062992125984" footer="0.31496062992125984"/>
  <pageSetup paperSize="8" scale="18" orientation="landscape" r:id="rId1"/>
  <headerFooter>
    <oddHeader>&amp;F</oddHeader>
    <oddFooter>&amp;L&amp;"-,Bold"&amp;K669966ProfessionalExcel.com&amp;C&amp;D&amp;RPage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3" sqref="B3"/>
    </sheetView>
  </sheetViews>
  <sheetFormatPr defaultColWidth="9.140625" defaultRowHeight="12.75" x14ac:dyDescent="0.2"/>
  <cols>
    <col min="1" max="1" width="18.5703125" style="44" customWidth="1"/>
    <col min="2" max="2" width="10.5703125" style="44" customWidth="1"/>
    <col min="3" max="3" width="87.28515625" style="45" bestFit="1" customWidth="1"/>
    <col min="4" max="4" width="8" style="26" bestFit="1" customWidth="1"/>
    <col min="5" max="16384" width="9.140625" style="26"/>
  </cols>
  <sheetData>
    <row r="1" spans="1:3" x14ac:dyDescent="0.2">
      <c r="A1" s="40" t="s">
        <v>9</v>
      </c>
      <c r="B1" s="40" t="s">
        <v>11</v>
      </c>
      <c r="C1" s="41" t="s">
        <v>10</v>
      </c>
    </row>
    <row r="2" spans="1:3" ht="27" customHeight="1" x14ac:dyDescent="0.2">
      <c r="A2" s="42" t="s">
        <v>1</v>
      </c>
      <c r="B2" s="46">
        <v>0</v>
      </c>
      <c r="C2" s="43" t="s">
        <v>12</v>
      </c>
    </row>
    <row r="3" spans="1:3" ht="27" customHeight="1" x14ac:dyDescent="0.2">
      <c r="A3" s="42" t="s">
        <v>2</v>
      </c>
      <c r="B3" s="47">
        <v>2</v>
      </c>
      <c r="C3" s="43" t="s">
        <v>14</v>
      </c>
    </row>
    <row r="4" spans="1:3" ht="27" customHeight="1" x14ac:dyDescent="0.2">
      <c r="A4" s="42" t="s">
        <v>6</v>
      </c>
      <c r="B4" s="48">
        <v>1</v>
      </c>
      <c r="C4" s="43" t="s">
        <v>15</v>
      </c>
    </row>
    <row r="5" spans="1:3" ht="27" customHeight="1" x14ac:dyDescent="0.2">
      <c r="A5" s="42" t="s">
        <v>7</v>
      </c>
      <c r="B5" s="48" t="b">
        <v>0</v>
      </c>
      <c r="C5" s="43" t="s">
        <v>13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IPT Multimedia Presentation Gannt</dc:title>
  <dc:subject>Project Management</dc:subject>
  <dc:creator>Andrew Wong;Chris Read</dc:creator>
  <cp:keywords>Project Management, Gantt Chart, Task Timeline, Project Profile</cp:keywords>
  <dc:description>Analyse project task timelines in a gantt chart.</dc:description>
  <cp:lastModifiedBy>Andrew Wong</cp:lastModifiedBy>
  <cp:lastPrinted>2014-04-04T08:30:01Z</cp:lastPrinted>
  <dcterms:created xsi:type="dcterms:W3CDTF">2006-09-16T00:00:00Z</dcterms:created>
  <dcterms:modified xsi:type="dcterms:W3CDTF">2015-03-08T11:21:44Z</dcterms:modified>
  <cp:category>Project Management</cp:category>
</cp:coreProperties>
</file>