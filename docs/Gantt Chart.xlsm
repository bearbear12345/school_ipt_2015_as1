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F22" i="1" l="1"/>
  <c r="F16" i="1"/>
  <c r="H23" i="1" l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7" i="1"/>
  <c r="F18" i="1"/>
  <c r="F19" i="1"/>
  <c r="F20" i="1"/>
  <c r="F21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22" i="1" l="1"/>
  <c r="G22" i="1"/>
  <c r="H21" i="1"/>
  <c r="G21" i="1"/>
  <c r="H20" i="1"/>
  <c r="G20" i="1"/>
  <c r="H19" i="1"/>
  <c r="G19" i="1"/>
  <c r="H18" i="1"/>
  <c r="G18" i="1"/>
  <c r="H7" i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<sst xmlns="http://schemas.openxmlformats.org/spreadsheetml/2006/main" count="40" uniqueCount="40">
  <si>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</si>
  <si>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</si>
  <si>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</si>
  <si>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</si>
  <si>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</si>
  <si>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</si>
  <si>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</si>
  <si>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</si>
  <si>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</si>
  <si>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</si>
  <si>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</si>
  <si>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</si>
  <si>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</si>
  <si>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</si>
  <si>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</si>
  <si>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</si>
  <si>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</si>
  <si>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</si>
  <si>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</si>
  <si>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Feature List</t>
  </si>
  <si>
    <t>Storyboard</t>
  </si>
  <si>
    <t>Documentation</t>
  </si>
  <si>
    <t>Video Clip Inclusion</t>
  </si>
  <si>
    <t>WWW Visibility</t>
  </si>
  <si>
    <t>Kiosk Usage</t>
  </si>
  <si>
    <t>IPT - Multimedia Presentation</t>
  </si>
  <si>
    <t>Days Planned</t>
  </si>
  <si>
    <t>Days Elapsed</t>
  </si>
  <si>
    <t>Days Remain</t>
  </si>
  <si>
    <t>Days Overrun</t>
  </si>
  <si>
    <t>Assign Roles</t>
  </si>
  <si>
    <t>Create kiosk version</t>
  </si>
  <si>
    <t>Design Mock-ups</t>
  </si>
  <si>
    <t>Merge presentation with information</t>
  </si>
  <si>
    <t>Create Gantt Chart</t>
  </si>
  <si>
    <t>Creation</t>
  </si>
  <si>
    <t>Presentation</t>
  </si>
  <si>
    <t>Finalisation</t>
  </si>
  <si>
    <t>Research Technolgies</t>
  </si>
  <si>
    <t>Evaluation and Overall Inspection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</si>
</sst>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5" fontId="6" fillId="0" borderId="27" xfId="0" applyNumberFormat="1" applyFont="1" applyFill="1" applyBorder="1" applyAlignment="1" applyProtection="1">
      <alignment horizontal="right"/>
      <protection locked="0"/>
    </xf>
    <xf numFmtId="165" fontId="6" fillId="0" borderId="28" xfId="0" applyNumberFormat="1" applyFont="1" applyFill="1" applyBorder="1" applyAlignment="1" applyProtection="1">
      <alignment horizontal="right"/>
      <protection locked="0"/>
    </xf>
    <xf numFmtId="164" fontId="16" fillId="9" borderId="0" xfId="0" applyNumberFormat="1" applyFont="1" applyFill="1" applyBorder="1" applyAlignment="1" applyProtection="1">
      <alignment horizontal="center"/>
    </xf>
    <xf numFmtId="164" fontId="16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153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Normal="100" workbookViewId="0">
      <pane ySplit="5" topLeftCell="A6" activePane="bottomLeft" state="frozen"/>
      <selection pane="bottomLeft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25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61"/>
      <c r="CD2" s="61"/>
      <c r="CE2" s="61"/>
      <c r="CF2" s="61"/>
      <c r="CG2" s="61"/>
      <c r="CH2" s="61"/>
      <c r="CI2" s="87"/>
      <c r="CJ2" s="87"/>
      <c r="CK2" s="87"/>
      <c r="CL2" s="87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61"/>
      <c r="CD3" s="61"/>
      <c r="CE3" s="61"/>
      <c r="CF3" s="61"/>
      <c r="CG3" s="61"/>
      <c r="CH3" s="61"/>
      <c r="CI3" s="87"/>
      <c r="CJ3" s="87"/>
      <c r="CK3" s="87"/>
      <c r="CL3" s="87"/>
      <c r="CM3" s="87"/>
      <c r="CN3" s="87"/>
      <c r="CO3" s="87"/>
      <c r="CP3" s="87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57"/>
      <c r="NK3" s="57"/>
    </row>
    <row r="4" spans="1:375" x14ac:dyDescent="0.2">
      <c r="A4" s="38" t="s">
        <v>8</v>
      </c>
      <c r="B4" s="39">
        <f ca="1">TODAY()</f>
        <v>42071</v>
      </c>
      <c r="C4" s="24"/>
      <c r="D4" s="26"/>
      <c r="E4" s="26"/>
      <c r="F4" s="28"/>
      <c r="G4" s="28"/>
      <c r="H4" s="28"/>
      <c r="I4" s="2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61"/>
      <c r="CD4" s="61"/>
      <c r="CE4" s="61"/>
      <c r="CF4" s="61"/>
      <c r="CG4" s="61"/>
      <c r="CH4" s="61"/>
      <c r="CI4" s="87"/>
      <c r="CJ4" s="87"/>
      <c r="CK4" s="87"/>
      <c r="CL4" s="87"/>
      <c r="CM4" s="87"/>
      <c r="CN4" s="87"/>
      <c r="CO4" s="87"/>
      <c r="CP4" s="87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26</v>
      </c>
      <c r="G5" s="23" t="s">
        <v>27</v>
      </c>
      <c r="H5" s="19" t="s">
        <v>28</v>
      </c>
      <c r="I5" s="20" t="s">
        <v>29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42051</v>
      </c>
      <c r="E6" s="83"/>
      <c r="F6" s="65">
        <f>IF(ISBLANK(A6),"",IF(OR(ISBLANK(C6),ISBLANK(D6)),0,D6-C6))</f>
        <v>28</v>
      </c>
      <c r="G6" s="68">
        <f t="shared" ref="G6:G49" ca="1" si="4">IF(ISBLANK(A6),"",IF(OR(ISBLANK(C6),ISBLANK(D6)),0,IF(Today&lt;C6,0,IF(ISBLANK(E6),Today-1,E6)-C6)))</f>
        <v>47</v>
      </c>
      <c r="H6" s="68">
        <f t="shared" ref="H6:H49" ca="1" si="5">IF(ISBLANK(A6),"",IF(OR(ISBLANK(C6),ISBLANK(D6)),0,IF(OR(Today&gt;D6,NOT(ISBLANK(E6))),0,IF(Today&lt;C6,D6-C6,D6-Today))))</f>
        <v>0</v>
      </c>
      <c r="I6" s="69">
        <f t="shared" ref="I6:I49" si="6">IF(ISBLANK(A6),"",IF(NOT(ISBLANK(E6)),IF(E6&gt;D6,E6-D6,0),0))</f>
        <v>0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38</v>
      </c>
      <c r="C7" s="17">
        <v>42023</v>
      </c>
      <c r="D7" s="17">
        <v>42051</v>
      </c>
      <c r="E7" s="17"/>
      <c r="F7" s="72">
        <f t="shared" ref="F7:F48" si="7">IF(ISBLANK(A7),"",IF(OR(ISBLANK(C7),ISBLANK(D7)),0,D7-C7))</f>
        <v>28</v>
      </c>
      <c r="G7" s="77">
        <f t="shared" ca="1" si="4"/>
        <v>47</v>
      </c>
      <c r="H7" s="77">
        <f t="shared" ca="1" si="5"/>
        <v>0</v>
      </c>
      <c r="I7" s="72">
        <f t="shared" si="6"/>
        <v>0</v>
      </c>
      <c r="J7" s="73"/>
      <c r="K7" s="74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30</v>
      </c>
      <c r="C8" s="17">
        <v>42040</v>
      </c>
      <c r="D8" s="17">
        <v>42040</v>
      </c>
      <c r="E8" s="17">
        <v>42040</v>
      </c>
      <c r="F8" s="78">
        <f t="shared" si="7"/>
        <v>0</v>
      </c>
      <c r="G8" s="79">
        <f t="shared" ca="1" si="4"/>
        <v>0</v>
      </c>
      <c r="H8" s="79">
        <f t="shared" ca="1" si="5"/>
        <v>0</v>
      </c>
      <c r="I8" s="78">
        <f t="shared" si="6"/>
        <v>0</v>
      </c>
      <c r="J8" s="75"/>
      <c r="K8" s="7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19</v>
      </c>
      <c r="C9" s="17">
        <v>42041</v>
      </c>
      <c r="D9" s="17">
        <v>42048</v>
      </c>
      <c r="E9" s="84">
        <v>42042</v>
      </c>
      <c r="F9" s="78">
        <f t="shared" si="7"/>
        <v>7</v>
      </c>
      <c r="G9" s="79">
        <f t="shared" ca="1" si="4"/>
        <v>1</v>
      </c>
      <c r="H9" s="79">
        <f t="shared" ca="1" si="5"/>
        <v>0</v>
      </c>
      <c r="I9" s="80">
        <f t="shared" si="6"/>
        <v>0</v>
      </c>
      <c r="J9" s="70"/>
      <c r="K9" s="71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34</v>
      </c>
      <c r="C10" s="17">
        <v>42044</v>
      </c>
      <c r="D10" s="17">
        <v>42046</v>
      </c>
      <c r="E10" s="84">
        <v>42044</v>
      </c>
      <c r="F10" s="78">
        <f t="shared" si="7"/>
        <v>2</v>
      </c>
      <c r="G10" s="79">
        <f t="shared" ca="1" si="4"/>
        <v>0</v>
      </c>
      <c r="H10" s="79">
        <f t="shared" ca="1" si="5"/>
        <v>0</v>
      </c>
      <c r="I10" s="80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32</v>
      </c>
      <c r="C11" s="17">
        <v>42047</v>
      </c>
      <c r="D11" s="17">
        <v>42051</v>
      </c>
      <c r="E11" s="84">
        <v>42048</v>
      </c>
      <c r="F11" s="78">
        <f t="shared" si="7"/>
        <v>4</v>
      </c>
      <c r="G11" s="79">
        <f t="shared" ca="1" si="4"/>
        <v>1</v>
      </c>
      <c r="H11" s="79">
        <f t="shared" ca="1" si="5"/>
        <v>0</v>
      </c>
      <c r="I11" s="80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30" t="s">
        <v>35</v>
      </c>
      <c r="C12" s="17">
        <v>42052</v>
      </c>
      <c r="D12" s="17">
        <v>42080</v>
      </c>
      <c r="E12" s="84"/>
      <c r="F12" s="78">
        <f t="shared" si="7"/>
        <v>28</v>
      </c>
      <c r="G12" s="79">
        <f t="shared" ca="1" si="4"/>
        <v>18</v>
      </c>
      <c r="H12" s="79">
        <f t="shared" ca="1" si="5"/>
        <v>9</v>
      </c>
      <c r="I12" s="80">
        <f t="shared" si="6"/>
        <v>0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20</v>
      </c>
      <c r="C13" s="17">
        <v>42052</v>
      </c>
      <c r="D13" s="17">
        <v>42054</v>
      </c>
      <c r="E13" s="84"/>
      <c r="F13" s="78">
        <f t="shared" si="7"/>
        <v>2</v>
      </c>
      <c r="G13" s="79">
        <f t="shared" ca="1" si="4"/>
        <v>18</v>
      </c>
      <c r="H13" s="79">
        <f t="shared" ca="1" si="5"/>
        <v>0</v>
      </c>
      <c r="I13" s="80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36</v>
      </c>
      <c r="C14" s="17">
        <v>42052</v>
      </c>
      <c r="D14" s="17">
        <v>42071</v>
      </c>
      <c r="E14" s="84"/>
      <c r="F14" s="78">
        <f t="shared" si="7"/>
        <v>19</v>
      </c>
      <c r="G14" s="79">
        <f t="shared" ca="1" si="4"/>
        <v>18</v>
      </c>
      <c r="H14" s="79">
        <f t="shared" ca="1" si="5"/>
        <v>0</v>
      </c>
      <c r="I14" s="80">
        <f t="shared" si="6"/>
        <v>0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33</v>
      </c>
      <c r="C15" s="17">
        <v>42072</v>
      </c>
      <c r="D15" s="17">
        <v>42073</v>
      </c>
      <c r="E15" s="84"/>
      <c r="F15" s="78">
        <f t="shared" si="7"/>
        <v>1</v>
      </c>
      <c r="G15" s="79">
        <f t="shared" ca="1" si="4"/>
        <v>0</v>
      </c>
      <c r="H15" s="79">
        <f t="shared" ca="1" si="5"/>
        <v>1</v>
      </c>
      <c r="I15" s="80">
        <f t="shared" si="6"/>
        <v>0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2.4</v>
      </c>
      <c r="B16" s="16" t="s">
        <v>31</v>
      </c>
      <c r="C16" s="17">
        <v>42072</v>
      </c>
      <c r="D16" s="17">
        <v>42073</v>
      </c>
      <c r="E16" s="84"/>
      <c r="F16" s="78">
        <f t="shared" si="7"/>
        <v>1</v>
      </c>
      <c r="G16" s="79">
        <f t="shared" ca="1" si="4"/>
        <v>0</v>
      </c>
      <c r="H16" s="79">
        <f t="shared" ca="1" si="5"/>
        <v>1</v>
      </c>
      <c r="I16" s="80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</v>
      </c>
      <c r="B17" s="30" t="s">
        <v>37</v>
      </c>
      <c r="C17" s="17">
        <v>42081</v>
      </c>
      <c r="D17" s="17">
        <v>42093</v>
      </c>
      <c r="E17" s="84"/>
      <c r="F17" s="78">
        <f t="shared" si="7"/>
        <v>12</v>
      </c>
      <c r="G17" s="79">
        <f t="shared" ca="1" si="4"/>
        <v>0</v>
      </c>
      <c r="H17" s="79">
        <f t="shared" ca="1" si="5"/>
        <v>12</v>
      </c>
      <c r="I17" s="80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3.1</v>
      </c>
      <c r="B18" s="16" t="s">
        <v>21</v>
      </c>
      <c r="C18" s="17">
        <v>42081</v>
      </c>
      <c r="D18" s="17">
        <v>42093</v>
      </c>
      <c r="E18" s="84"/>
      <c r="F18" s="78">
        <f t="shared" si="7"/>
        <v>12</v>
      </c>
      <c r="G18" s="79">
        <f t="shared" ca="1" si="4"/>
        <v>0</v>
      </c>
      <c r="H18" s="79">
        <f t="shared" ca="1" si="5"/>
        <v>12</v>
      </c>
      <c r="I18" s="81">
        <f t="shared" si="6"/>
        <v>0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3.2</v>
      </c>
      <c r="B19" s="16" t="s">
        <v>22</v>
      </c>
      <c r="C19" s="17">
        <v>42081</v>
      </c>
      <c r="D19" s="17">
        <v>42084</v>
      </c>
      <c r="E19" s="85"/>
      <c r="F19" s="72">
        <f t="shared" si="7"/>
        <v>3</v>
      </c>
      <c r="G19" s="77">
        <f t="shared" ca="1" si="4"/>
        <v>0</v>
      </c>
      <c r="H19" s="77">
        <f t="shared" ca="1" si="5"/>
        <v>3</v>
      </c>
      <c r="I19" s="82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3.3</v>
      </c>
      <c r="B20" s="16" t="s">
        <v>23</v>
      </c>
      <c r="C20" s="17">
        <v>42085</v>
      </c>
      <c r="D20" s="17">
        <v>42088</v>
      </c>
      <c r="E20" s="86"/>
      <c r="F20" s="72">
        <f t="shared" si="7"/>
        <v>3</v>
      </c>
      <c r="G20" s="77">
        <f t="shared" ca="1" si="4"/>
        <v>0</v>
      </c>
      <c r="H20" s="77">
        <f t="shared" ca="1" si="5"/>
        <v>3</v>
      </c>
      <c r="I20" s="82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>
        <v>3.4</v>
      </c>
      <c r="B21" s="16" t="s">
        <v>24</v>
      </c>
      <c r="C21" s="17">
        <v>42089</v>
      </c>
      <c r="D21" s="17">
        <v>42092</v>
      </c>
      <c r="E21" s="84"/>
      <c r="F21" s="78">
        <f t="shared" si="7"/>
        <v>3</v>
      </c>
      <c r="G21" s="77">
        <f t="shared" ca="1" si="4"/>
        <v>0</v>
      </c>
      <c r="H21" s="77">
        <f t="shared" ca="1" si="5"/>
        <v>3</v>
      </c>
      <c r="I21" s="82">
        <f t="shared" si="6"/>
        <v>0</v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>
        <v>3.5</v>
      </c>
      <c r="B22" s="16" t="s">
        <v>39</v>
      </c>
      <c r="C22" s="17">
        <v>42092</v>
      </c>
      <c r="D22" s="17">
        <v>42093</v>
      </c>
      <c r="E22" s="17"/>
      <c r="F22" s="78">
        <f t="shared" si="7"/>
        <v>1</v>
      </c>
      <c r="G22" s="77">
        <f t="shared" ca="1" si="4"/>
        <v>0</v>
      </c>
      <c r="H22" s="77">
        <f t="shared" ca="1" si="5"/>
        <v>1</v>
      </c>
      <c r="I22" s="82">
        <f t="shared" si="6"/>
        <v>0</v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J2:CB4"/>
    <mergeCell ref="DY2:EE4"/>
    <mergeCell ref="CI2:CO4"/>
    <mergeCell ref="CP2:CV4"/>
    <mergeCell ref="CW2:DC4"/>
    <mergeCell ref="DD2:DJ4"/>
    <mergeCell ref="DK2:DQ4"/>
    <mergeCell ref="DR2:DX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HL2:HR4"/>
    <mergeCell ref="HS2:HY4"/>
    <mergeCell ref="HZ2:IF4"/>
    <mergeCell ref="IG2:IM4"/>
    <mergeCell ref="IN2:I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I23:CB49 A25:E49 F6:CB20 G21:CB21 C23:E24 C21:D22 J22:CB22 C8:E20 A8:A24">
    <cfRule type="expression" dxfId="152" priority="260">
      <formula>LEN($A6)=1</formula>
    </cfRule>
  </conditionalFormatting>
  <conditionalFormatting sqref="A25:E49 C23:E24 C21:D22 C8:E20 A8:A24">
    <cfRule type="expression" dxfId="151" priority="263">
      <formula>LEN($A8)&gt;1</formula>
    </cfRule>
  </conditionalFormatting>
  <conditionalFormatting sqref="J6:CB49 J2 CD2:CH4">
    <cfRule type="expression" dxfId="150" priority="259">
      <formula>J$2&lt;&gt;C$2</formula>
    </cfRule>
  </conditionalFormatting>
  <conditionalFormatting sqref="J6:CB49">
    <cfRule type="expression" dxfId="149" priority="161" stopIfTrue="1">
      <formula>J$1=Today</formula>
    </cfRule>
    <cfRule type="expression" dxfId="148" priority="240" stopIfTrue="1">
      <formula>AND(LEN($A6)=1,J$1&gt;=$C6,J$1&lt;=$D6,J$1&gt;Today,IF(ISBLANK($E6),TRUE,J$1&lt;=$E6))</formula>
    </cfRule>
    <cfRule type="expression" dxfId="147" priority="258" stopIfTrue="1">
      <formula>AND(LEN($A6)=1,J$1&lt;Today,J$1&gt;$C6,NOT(ISBLANK($C6)),$D6&lt;Today,IF(ISBLANK($E6),J$1&gt;$D6,J$1&lt;$E6))</formula>
    </cfRule>
  </conditionalFormatting>
  <conditionalFormatting sqref="J6:CB49">
    <cfRule type="expression" dxfId="146" priority="238" stopIfTrue="1">
      <formula>AND(LEN($A6)&gt;1,J$1&gt;=$C6,J$1&lt;=$D6,J$1&gt;Today,IF(ISBLANK($E6),TRUE,J$1&lt;=$E6))</formula>
    </cfRule>
    <cfRule type="expression" dxfId="145" priority="255" stopIfTrue="1">
      <formula>AND(LEN($A6)&gt;1,J$1&gt;=$C6,J$1&lt;=$D6,IF(ISBLANK($E6),TRUE,J$1&lt;=$E6))</formula>
    </cfRule>
    <cfRule type="expression" dxfId="144" priority="256" stopIfTrue="1">
      <formula>AND(LEN($A6)=1,J$1&gt;=$C6,J$1&lt;=$D6,IF(ISBLANK($E6),TRUE,J$1&lt;=$E6))</formula>
    </cfRule>
    <cfRule type="expression" dxfId="143" priority="257" stopIfTrue="1">
      <formula>AND(LEN($A6)&gt;1,J$1&lt;Today,J$1&gt;$C6,NOT(ISBLANK($C6)),$D6&lt;Today,IF(ISBLANK($E6),J$1&gt;$D6,J$1&lt;$E6))</formula>
    </cfRule>
  </conditionalFormatting>
  <conditionalFormatting sqref="A6:A7 C6:E6">
    <cfRule type="expression" dxfId="142" priority="77">
      <formula>LEN($A6)=1</formula>
    </cfRule>
  </conditionalFormatting>
  <conditionalFormatting sqref="A6:A7 C6:E6">
    <cfRule type="expression" dxfId="141" priority="78">
      <formula>LEN($A6)&gt;1</formula>
    </cfRule>
  </conditionalFormatting>
  <conditionalFormatting sqref="F23:H28">
    <cfRule type="expression" dxfId="140" priority="76">
      <formula>LEN($A23)=1</formula>
    </cfRule>
  </conditionalFormatting>
  <conditionalFormatting sqref="F29:H49">
    <cfRule type="expression" dxfId="139" priority="75">
      <formula>LEN($A29)=1</formula>
    </cfRule>
  </conditionalFormatting>
  <conditionalFormatting sqref="B7">
    <cfRule type="expression" dxfId="138" priority="272">
      <formula>LEN($A8)=1</formula>
    </cfRule>
  </conditionalFormatting>
  <conditionalFormatting sqref="B7">
    <cfRule type="expression" dxfId="137" priority="275">
      <formula>LEN($A8)&gt;1</formula>
    </cfRule>
  </conditionalFormatting>
  <conditionalFormatting sqref="C7:D7">
    <cfRule type="expression" dxfId="132" priority="69">
      <formula>LEN($A7)=1</formula>
    </cfRule>
  </conditionalFormatting>
  <conditionalFormatting sqref="C7:D7">
    <cfRule type="expression" dxfId="131" priority="70">
      <formula>LEN($A7)&gt;1</formula>
    </cfRule>
  </conditionalFormatting>
  <conditionalFormatting sqref="B23:B24">
    <cfRule type="expression" dxfId="128" priority="67">
      <formula>LEN($A23)=1</formula>
    </cfRule>
  </conditionalFormatting>
  <conditionalFormatting sqref="B23:B24">
    <cfRule type="expression" dxfId="127" priority="68">
      <formula>LEN($A23)&gt;1</formula>
    </cfRule>
  </conditionalFormatting>
  <conditionalFormatting sqref="B10">
    <cfRule type="expression" dxfId="124" priority="287">
      <formula>LEN($A11)=1</formula>
    </cfRule>
  </conditionalFormatting>
  <conditionalFormatting sqref="B10">
    <cfRule type="expression" dxfId="123" priority="290">
      <formula>LEN($A11)&gt;1</formula>
    </cfRule>
  </conditionalFormatting>
  <conditionalFormatting sqref="B8">
    <cfRule type="expression" dxfId="122" priority="65">
      <formula>LEN($A8)=1</formula>
    </cfRule>
  </conditionalFormatting>
  <conditionalFormatting sqref="B8">
    <cfRule type="expression" dxfId="121" priority="66">
      <formula>LEN($A8)&gt;1</formula>
    </cfRule>
  </conditionalFormatting>
  <conditionalFormatting sqref="B9">
    <cfRule type="expression" dxfId="120" priority="63">
      <formula>LEN($A9)=1</formula>
    </cfRule>
  </conditionalFormatting>
  <conditionalFormatting sqref="B9">
    <cfRule type="expression" dxfId="119" priority="64">
      <formula>LEN($A9)&gt;1</formula>
    </cfRule>
  </conditionalFormatting>
  <conditionalFormatting sqref="B6">
    <cfRule type="expression" dxfId="94" priority="47">
      <formula>LEN($A6)=1</formula>
    </cfRule>
  </conditionalFormatting>
  <conditionalFormatting sqref="B6">
    <cfRule type="expression" dxfId="93" priority="48">
      <formula>LEN($A6)&gt;1</formula>
    </cfRule>
  </conditionalFormatting>
  <conditionalFormatting sqref="B12">
    <cfRule type="expression" dxfId="92" priority="45">
      <formula>LEN($A12)=1</formula>
    </cfRule>
  </conditionalFormatting>
  <conditionalFormatting sqref="B12">
    <cfRule type="expression" dxfId="91" priority="46">
      <formula>LEN($A12)&gt;1</formula>
    </cfRule>
  </conditionalFormatting>
  <conditionalFormatting sqref="B15">
    <cfRule type="expression" dxfId="90" priority="43">
      <formula>LEN($A15)=1</formula>
    </cfRule>
  </conditionalFormatting>
  <conditionalFormatting sqref="B15">
    <cfRule type="expression" dxfId="89" priority="44">
      <formula>LEN($A15)&gt;1</formula>
    </cfRule>
  </conditionalFormatting>
  <conditionalFormatting sqref="B18">
    <cfRule type="expression" dxfId="88" priority="41">
      <formula>LEN($A18)=1</formula>
    </cfRule>
  </conditionalFormatting>
  <conditionalFormatting sqref="B18">
    <cfRule type="expression" dxfId="87" priority="42">
      <formula>LEN($A18)&gt;1</formula>
    </cfRule>
  </conditionalFormatting>
  <conditionalFormatting sqref="B13:B14">
    <cfRule type="expression" dxfId="86" priority="39">
      <formula>LEN($A13)=1</formula>
    </cfRule>
  </conditionalFormatting>
  <conditionalFormatting sqref="B13:B14">
    <cfRule type="expression" dxfId="85" priority="40">
      <formula>LEN($A13)&gt;1</formula>
    </cfRule>
  </conditionalFormatting>
  <conditionalFormatting sqref="B15:B17">
    <cfRule type="expression" dxfId="84" priority="37">
      <formula>LEN($A15)=1</formula>
    </cfRule>
  </conditionalFormatting>
  <conditionalFormatting sqref="B15:B17">
    <cfRule type="expression" dxfId="83" priority="38">
      <formula>LEN($A15)&gt;1</formula>
    </cfRule>
  </conditionalFormatting>
  <conditionalFormatting sqref="B18:B22">
    <cfRule type="expression" dxfId="82" priority="35">
      <formula>LEN($A18)=1</formula>
    </cfRule>
  </conditionalFormatting>
  <conditionalFormatting sqref="B18:B22">
    <cfRule type="expression" dxfId="81" priority="36">
      <formula>LEN($A18)&gt;1</formula>
    </cfRule>
  </conditionalFormatting>
  <conditionalFormatting sqref="E21:F21">
    <cfRule type="expression" dxfId="79" priority="33">
      <formula>LEN($A21)=1</formula>
    </cfRule>
  </conditionalFormatting>
  <conditionalFormatting sqref="E21">
    <cfRule type="expression" dxfId="77" priority="34">
      <formula>LEN($A21)&gt;1</formula>
    </cfRule>
  </conditionalFormatting>
  <conditionalFormatting sqref="B17">
    <cfRule type="expression" dxfId="69" priority="31">
      <formula>LEN($A17)=1</formula>
    </cfRule>
  </conditionalFormatting>
  <conditionalFormatting sqref="B17">
    <cfRule type="expression" dxfId="67" priority="32">
      <formula>LEN($A17)&gt;1</formula>
    </cfRule>
  </conditionalFormatting>
  <conditionalFormatting sqref="E22">
    <cfRule type="expression" dxfId="61" priority="28">
      <formula>LEN($A22)=1</formula>
    </cfRule>
  </conditionalFormatting>
  <conditionalFormatting sqref="E22">
    <cfRule type="expression" dxfId="59" priority="29">
      <formula>LEN($A22)&gt;1</formula>
    </cfRule>
  </conditionalFormatting>
  <conditionalFormatting sqref="E7">
    <cfRule type="expression" dxfId="53" priority="25">
      <formula>LEN($A7)=1</formula>
    </cfRule>
  </conditionalFormatting>
  <conditionalFormatting sqref="E7">
    <cfRule type="expression" dxfId="51" priority="26">
      <formula>LEN($A7)&gt;1</formula>
    </cfRule>
  </conditionalFormatting>
  <conditionalFormatting sqref="A8">
    <cfRule type="expression" dxfId="47" priority="19">
      <formula>LEN($A8)=1</formula>
    </cfRule>
  </conditionalFormatting>
  <conditionalFormatting sqref="A8">
    <cfRule type="expression" dxfId="45" priority="20">
      <formula>LEN($A8)&gt;1</formula>
    </cfRule>
  </conditionalFormatting>
  <conditionalFormatting sqref="B8">
    <cfRule type="expression" dxfId="43" priority="21">
      <formula>LEN($A9)=1</formula>
    </cfRule>
  </conditionalFormatting>
  <conditionalFormatting sqref="B8">
    <cfRule type="expression" dxfId="41" priority="22">
      <formula>LEN($A9)&gt;1</formula>
    </cfRule>
  </conditionalFormatting>
  <conditionalFormatting sqref="C8:D8">
    <cfRule type="expression" dxfId="39" priority="17">
      <formula>LEN($A8)=1</formula>
    </cfRule>
  </conditionalFormatting>
  <conditionalFormatting sqref="C8:D8">
    <cfRule type="expression" dxfId="37" priority="18">
      <formula>LEN($A8)&gt;1</formula>
    </cfRule>
  </conditionalFormatting>
  <conditionalFormatting sqref="B9">
    <cfRule type="expression" dxfId="31" priority="15">
      <formula>LEN($A9)=1</formula>
    </cfRule>
  </conditionalFormatting>
  <conditionalFormatting sqref="B9">
    <cfRule type="expression" dxfId="29" priority="16">
      <formula>LEN($A9)&gt;1</formula>
    </cfRule>
  </conditionalFormatting>
  <conditionalFormatting sqref="B10">
    <cfRule type="expression" dxfId="27" priority="13">
      <formula>LEN($A10)=1</formula>
    </cfRule>
  </conditionalFormatting>
  <conditionalFormatting sqref="B10">
    <cfRule type="expression" dxfId="25" priority="14">
      <formula>LEN($A10)&gt;1</formula>
    </cfRule>
  </conditionalFormatting>
  <conditionalFormatting sqref="E8">
    <cfRule type="expression" dxfId="23" priority="11">
      <formula>LEN($A8)=1</formula>
    </cfRule>
  </conditionalFormatting>
  <conditionalFormatting sqref="E8">
    <cfRule type="expression" dxfId="21" priority="12">
      <formula>LEN($A8)&gt;1</formula>
    </cfRule>
  </conditionalFormatting>
  <conditionalFormatting sqref="B11">
    <cfRule type="expression" dxfId="11" priority="5">
      <formula>LEN($A11)=1</formula>
    </cfRule>
  </conditionalFormatting>
  <conditionalFormatting sqref="B11">
    <cfRule type="expression" dxfId="9" priority="6">
      <formula>LEN($A11)&gt;1</formula>
    </cfRule>
  </conditionalFormatting>
  <conditionalFormatting sqref="B11">
    <cfRule type="expression" dxfId="7" priority="3">
      <formula>LEN($A11)=1</formula>
    </cfRule>
  </conditionalFormatting>
  <conditionalFormatting sqref="B11">
    <cfRule type="expression" dxfId="5" priority="4">
      <formula>LEN($A11)&gt;1</formula>
    </cfRule>
  </conditionalFormatting>
  <conditionalFormatting sqref="G22:I22">
    <cfRule type="expression" dxfId="3" priority="2">
      <formula>LEN($A22)=1</formula>
    </cfRule>
  </conditionalFormatting>
  <conditionalFormatting sqref="F22">
    <cfRule type="expression" dxfId="1" priority="1">
      <formula>LEN($A22)=1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E7:E8 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2015-03-08T08:42:59Z</dcterms:modified>
  <cp:category>Project Management</cp:category>
</cp:coreProperties>
</file>